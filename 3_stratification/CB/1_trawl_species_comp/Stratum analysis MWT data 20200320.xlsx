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kocovsky\Desktop\"/>
    </mc:Choice>
  </mc:AlternateContent>
  <xr:revisionPtr revIDLastSave="0" documentId="13_ncr:1_{753A510F-5FB6-4A91-982A-1144896C7749}" xr6:coauthVersionLast="44" xr6:coauthVersionMax="44" xr10:uidLastSave="{00000000-0000-0000-0000-000000000000}"/>
  <bookViews>
    <workbookView xWindow="-120" yWindow="-120" windowWidth="20730" windowHeight="11160" activeTab="1" xr2:uid="{00000000-000D-0000-FFFF-FFFF00000000}"/>
  </bookViews>
  <sheets>
    <sheet name="Full data" sheetId="2" r:id="rId1"/>
    <sheet name="CART multinomial data" sheetId="11" r:id="rId2"/>
    <sheet name="Variables" sheetId="12" r:id="rId3"/>
  </sheets>
  <definedNames>
    <definedName name="_xlnm._FilterDatabase" localSheetId="0" hidden="1">'Full data'!$A$17:$AS$407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07" i="2" l="1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AS407" i="2" l="1"/>
  <c r="AR407" i="2"/>
  <c r="AQ407" i="2"/>
  <c r="AP407" i="2"/>
  <c r="AO407" i="2"/>
  <c r="AS406" i="2"/>
  <c r="AR406" i="2"/>
  <c r="AQ406" i="2"/>
  <c r="AP406" i="2"/>
  <c r="AO406" i="2"/>
  <c r="AS405" i="2"/>
  <c r="AR405" i="2"/>
  <c r="AQ405" i="2"/>
  <c r="AP405" i="2"/>
  <c r="AO405" i="2"/>
  <c r="AS404" i="2"/>
  <c r="AR404" i="2"/>
  <c r="AQ404" i="2"/>
  <c r="AP404" i="2"/>
  <c r="AO404" i="2"/>
  <c r="AS403" i="2"/>
  <c r="AR403" i="2"/>
  <c r="AQ403" i="2"/>
  <c r="AP403" i="2"/>
  <c r="AO403" i="2"/>
  <c r="AS402" i="2"/>
  <c r="AR402" i="2"/>
  <c r="AQ402" i="2"/>
  <c r="AP402" i="2"/>
  <c r="AO402" i="2"/>
  <c r="AS401" i="2"/>
  <c r="AR401" i="2"/>
  <c r="AQ401" i="2"/>
  <c r="AP401" i="2"/>
  <c r="AO401" i="2"/>
  <c r="AS400" i="2"/>
  <c r="AR400" i="2"/>
  <c r="AQ400" i="2"/>
  <c r="AP400" i="2"/>
  <c r="AO400" i="2"/>
  <c r="AS399" i="2"/>
  <c r="AR399" i="2"/>
  <c r="AQ399" i="2"/>
  <c r="AP399" i="2"/>
  <c r="AO399" i="2"/>
  <c r="AS398" i="2"/>
  <c r="AR398" i="2"/>
  <c r="AQ398" i="2"/>
  <c r="AP398" i="2"/>
  <c r="AO398" i="2"/>
  <c r="AS397" i="2"/>
  <c r="AR397" i="2"/>
  <c r="AQ397" i="2"/>
  <c r="AP397" i="2"/>
  <c r="AO397" i="2"/>
  <c r="AS396" i="2"/>
  <c r="AR396" i="2"/>
  <c r="AQ396" i="2"/>
  <c r="AP396" i="2"/>
  <c r="AO396" i="2"/>
  <c r="AS395" i="2"/>
  <c r="AR395" i="2"/>
  <c r="AQ395" i="2"/>
  <c r="AP395" i="2"/>
  <c r="AO395" i="2"/>
  <c r="AS394" i="2"/>
  <c r="AR394" i="2"/>
  <c r="AQ394" i="2"/>
  <c r="AP394" i="2"/>
  <c r="AO394" i="2"/>
  <c r="AS393" i="2"/>
  <c r="AR393" i="2"/>
  <c r="AQ393" i="2"/>
  <c r="AP393" i="2"/>
  <c r="AO393" i="2"/>
  <c r="AS392" i="2"/>
  <c r="AR392" i="2"/>
  <c r="AQ392" i="2"/>
  <c r="AP392" i="2"/>
  <c r="AO392" i="2"/>
  <c r="AS391" i="2"/>
  <c r="AR391" i="2"/>
  <c r="AQ391" i="2"/>
  <c r="AP391" i="2"/>
  <c r="AO391" i="2"/>
  <c r="AS390" i="2"/>
  <c r="AR390" i="2"/>
  <c r="AQ390" i="2"/>
  <c r="AP390" i="2"/>
  <c r="AO390" i="2"/>
  <c r="AS389" i="2"/>
  <c r="AR389" i="2"/>
  <c r="AQ389" i="2"/>
  <c r="AP389" i="2"/>
  <c r="AO389" i="2"/>
  <c r="AS388" i="2"/>
  <c r="AR388" i="2"/>
  <c r="AQ388" i="2"/>
  <c r="AP388" i="2"/>
  <c r="AO388" i="2"/>
  <c r="AS387" i="2"/>
  <c r="AR387" i="2"/>
  <c r="AQ387" i="2"/>
  <c r="AP387" i="2"/>
  <c r="AO387" i="2"/>
  <c r="AS386" i="2"/>
  <c r="AR386" i="2"/>
  <c r="AQ386" i="2"/>
  <c r="AP386" i="2"/>
  <c r="AO386" i="2"/>
  <c r="AS385" i="2"/>
  <c r="AR385" i="2"/>
  <c r="AQ385" i="2"/>
  <c r="AP385" i="2"/>
  <c r="AO385" i="2"/>
  <c r="AS384" i="2"/>
  <c r="AR384" i="2"/>
  <c r="AQ384" i="2"/>
  <c r="AP384" i="2"/>
  <c r="AO384" i="2"/>
  <c r="AS383" i="2"/>
  <c r="AR383" i="2"/>
  <c r="AQ383" i="2"/>
  <c r="AP383" i="2"/>
  <c r="AO383" i="2"/>
  <c r="AS382" i="2"/>
  <c r="AR382" i="2"/>
  <c r="AQ382" i="2"/>
  <c r="AP382" i="2"/>
  <c r="AO382" i="2"/>
  <c r="AS381" i="2"/>
  <c r="AR381" i="2"/>
  <c r="AQ381" i="2"/>
  <c r="AP381" i="2"/>
  <c r="AO381" i="2"/>
  <c r="AS380" i="2"/>
  <c r="AR380" i="2"/>
  <c r="AQ380" i="2"/>
  <c r="AP380" i="2"/>
  <c r="AO380" i="2"/>
  <c r="AS379" i="2"/>
  <c r="AR379" i="2"/>
  <c r="AQ379" i="2"/>
  <c r="AP379" i="2"/>
  <c r="AO379" i="2"/>
  <c r="AS378" i="2"/>
  <c r="AR378" i="2"/>
  <c r="AQ378" i="2"/>
  <c r="AP378" i="2"/>
  <c r="AO378" i="2"/>
  <c r="AS377" i="2"/>
  <c r="AR377" i="2"/>
  <c r="AQ377" i="2"/>
  <c r="AP377" i="2"/>
  <c r="AO377" i="2"/>
  <c r="AS376" i="2"/>
  <c r="AR376" i="2"/>
  <c r="AQ376" i="2"/>
  <c r="AP376" i="2"/>
  <c r="AO376" i="2"/>
  <c r="AS375" i="2"/>
  <c r="AR375" i="2"/>
  <c r="AQ375" i="2"/>
  <c r="AP375" i="2"/>
  <c r="AO375" i="2"/>
  <c r="AS374" i="2"/>
  <c r="AR374" i="2"/>
  <c r="AQ374" i="2"/>
  <c r="AP374" i="2"/>
  <c r="AO374" i="2"/>
  <c r="AS373" i="2"/>
  <c r="AR373" i="2"/>
  <c r="AQ373" i="2"/>
  <c r="AP373" i="2"/>
  <c r="AO373" i="2"/>
  <c r="AS372" i="2"/>
  <c r="AR372" i="2"/>
  <c r="AQ372" i="2"/>
  <c r="AP372" i="2"/>
  <c r="AO372" i="2"/>
  <c r="AS371" i="2"/>
  <c r="AR371" i="2"/>
  <c r="AQ371" i="2"/>
  <c r="AP371" i="2"/>
  <c r="AO371" i="2"/>
  <c r="AS370" i="2"/>
  <c r="AR370" i="2"/>
  <c r="AQ370" i="2"/>
  <c r="AP370" i="2"/>
  <c r="AO370" i="2"/>
  <c r="AS369" i="2"/>
  <c r="AR369" i="2"/>
  <c r="AQ369" i="2"/>
  <c r="AP369" i="2"/>
  <c r="AO369" i="2"/>
  <c r="AS368" i="2"/>
  <c r="AR368" i="2"/>
  <c r="AQ368" i="2"/>
  <c r="AP368" i="2"/>
  <c r="AO368" i="2"/>
  <c r="AS367" i="2"/>
  <c r="AR367" i="2"/>
  <c r="AQ367" i="2"/>
  <c r="AP367" i="2"/>
  <c r="AO367" i="2"/>
  <c r="AS366" i="2"/>
  <c r="AR366" i="2"/>
  <c r="AQ366" i="2"/>
  <c r="AP366" i="2"/>
  <c r="AO366" i="2"/>
  <c r="AS365" i="2"/>
  <c r="AR365" i="2"/>
  <c r="AQ365" i="2"/>
  <c r="AP365" i="2"/>
  <c r="AO365" i="2"/>
  <c r="AS364" i="2"/>
  <c r="AR364" i="2"/>
  <c r="AQ364" i="2"/>
  <c r="AP364" i="2"/>
  <c r="AO364" i="2"/>
  <c r="AS363" i="2"/>
  <c r="AR363" i="2"/>
  <c r="AQ363" i="2"/>
  <c r="AP363" i="2"/>
  <c r="AO363" i="2"/>
  <c r="AS362" i="2"/>
  <c r="AR362" i="2"/>
  <c r="AQ362" i="2"/>
  <c r="AP362" i="2"/>
  <c r="AO362" i="2"/>
  <c r="AS361" i="2"/>
  <c r="AR361" i="2"/>
  <c r="AQ361" i="2"/>
  <c r="AP361" i="2"/>
  <c r="AO361" i="2"/>
  <c r="AS360" i="2"/>
  <c r="AR360" i="2"/>
  <c r="AQ360" i="2"/>
  <c r="AP360" i="2"/>
  <c r="AO360" i="2"/>
  <c r="AS359" i="2"/>
  <c r="AR359" i="2"/>
  <c r="AQ359" i="2"/>
  <c r="AP359" i="2"/>
  <c r="AO359" i="2"/>
  <c r="AS358" i="2"/>
  <c r="AR358" i="2"/>
  <c r="AQ358" i="2"/>
  <c r="AP358" i="2"/>
  <c r="AO358" i="2"/>
  <c r="AS357" i="2"/>
  <c r="AR357" i="2"/>
  <c r="AQ357" i="2"/>
  <c r="AP357" i="2"/>
  <c r="AO357" i="2"/>
  <c r="AS356" i="2"/>
  <c r="AR356" i="2"/>
  <c r="AQ356" i="2"/>
  <c r="AP356" i="2"/>
  <c r="AO356" i="2"/>
  <c r="AS355" i="2"/>
  <c r="AR355" i="2"/>
  <c r="AQ355" i="2"/>
  <c r="AP355" i="2"/>
  <c r="AO355" i="2"/>
  <c r="AS354" i="2"/>
  <c r="AR354" i="2"/>
  <c r="AQ354" i="2"/>
  <c r="AP354" i="2"/>
  <c r="AO354" i="2"/>
  <c r="AS353" i="2"/>
  <c r="AR353" i="2"/>
  <c r="AQ353" i="2"/>
  <c r="AP353" i="2"/>
  <c r="AO353" i="2"/>
  <c r="AS352" i="2"/>
  <c r="AR352" i="2"/>
  <c r="AQ352" i="2"/>
  <c r="AP352" i="2"/>
  <c r="AO352" i="2"/>
  <c r="AS351" i="2"/>
  <c r="AR351" i="2"/>
  <c r="AQ351" i="2"/>
  <c r="AP351" i="2"/>
  <c r="AO351" i="2"/>
  <c r="AS350" i="2"/>
  <c r="AR350" i="2"/>
  <c r="AQ350" i="2"/>
  <c r="AP350" i="2"/>
  <c r="AO350" i="2"/>
  <c r="AS349" i="2"/>
  <c r="AR349" i="2"/>
  <c r="AQ349" i="2"/>
  <c r="AP349" i="2"/>
  <c r="AO349" i="2"/>
  <c r="AS348" i="2"/>
  <c r="AR348" i="2"/>
  <c r="AQ348" i="2"/>
  <c r="AP348" i="2"/>
  <c r="AO348" i="2"/>
  <c r="AS347" i="2"/>
  <c r="AR347" i="2"/>
  <c r="AQ347" i="2"/>
  <c r="AP347" i="2"/>
  <c r="AO347" i="2"/>
  <c r="AS346" i="2"/>
  <c r="AR346" i="2"/>
  <c r="AQ346" i="2"/>
  <c r="AP346" i="2"/>
  <c r="AO346" i="2"/>
  <c r="AS345" i="2"/>
  <c r="AR345" i="2"/>
  <c r="AQ345" i="2"/>
  <c r="AP345" i="2"/>
  <c r="AO345" i="2"/>
  <c r="AS344" i="2"/>
  <c r="AR344" i="2"/>
  <c r="AQ344" i="2"/>
  <c r="AP344" i="2"/>
  <c r="AO344" i="2"/>
  <c r="AS343" i="2"/>
  <c r="AR343" i="2"/>
  <c r="AQ343" i="2"/>
  <c r="AP343" i="2"/>
  <c r="AO343" i="2"/>
  <c r="AS342" i="2"/>
  <c r="AR342" i="2"/>
  <c r="AQ342" i="2"/>
  <c r="AP342" i="2"/>
  <c r="AO342" i="2"/>
  <c r="AS341" i="2"/>
  <c r="AR341" i="2"/>
  <c r="AQ341" i="2"/>
  <c r="AP341" i="2"/>
  <c r="AO341" i="2"/>
  <c r="AS340" i="2"/>
  <c r="AR340" i="2"/>
  <c r="AQ340" i="2"/>
  <c r="AP340" i="2"/>
  <c r="AO340" i="2"/>
  <c r="AS339" i="2"/>
  <c r="AR339" i="2"/>
  <c r="AQ339" i="2"/>
  <c r="AP339" i="2"/>
  <c r="AO339" i="2"/>
  <c r="AS338" i="2"/>
  <c r="AR338" i="2"/>
  <c r="AQ338" i="2"/>
  <c r="AP338" i="2"/>
  <c r="AO338" i="2"/>
  <c r="AS337" i="2"/>
  <c r="AR337" i="2"/>
  <c r="AQ337" i="2"/>
  <c r="AP337" i="2"/>
  <c r="AO337" i="2"/>
  <c r="AS336" i="2"/>
  <c r="AR336" i="2"/>
  <c r="AQ336" i="2"/>
  <c r="AP336" i="2"/>
  <c r="AO336" i="2"/>
  <c r="AS335" i="2"/>
  <c r="AR335" i="2"/>
  <c r="AQ335" i="2"/>
  <c r="AP335" i="2"/>
  <c r="AO335" i="2"/>
  <c r="AS334" i="2"/>
  <c r="AR334" i="2"/>
  <c r="AQ334" i="2"/>
  <c r="AP334" i="2"/>
  <c r="AO334" i="2"/>
  <c r="AS333" i="2"/>
  <c r="AR333" i="2"/>
  <c r="AQ333" i="2"/>
  <c r="AP333" i="2"/>
  <c r="AO333" i="2"/>
  <c r="AS332" i="2"/>
  <c r="AR332" i="2"/>
  <c r="AQ332" i="2"/>
  <c r="AP332" i="2"/>
  <c r="AO332" i="2"/>
  <c r="AS331" i="2"/>
  <c r="AR331" i="2"/>
  <c r="AQ331" i="2"/>
  <c r="AP331" i="2"/>
  <c r="AO331" i="2"/>
  <c r="AS330" i="2"/>
  <c r="AR330" i="2"/>
  <c r="AQ330" i="2"/>
  <c r="AP330" i="2"/>
  <c r="AO330" i="2"/>
  <c r="AS329" i="2"/>
  <c r="AR329" i="2"/>
  <c r="AQ329" i="2"/>
  <c r="AP329" i="2"/>
  <c r="AO329" i="2"/>
  <c r="AS328" i="2"/>
  <c r="AR328" i="2"/>
  <c r="AQ328" i="2"/>
  <c r="AP328" i="2"/>
  <c r="AO328" i="2"/>
  <c r="AS327" i="2"/>
  <c r="AR327" i="2"/>
  <c r="AQ327" i="2"/>
  <c r="AP327" i="2"/>
  <c r="AO327" i="2"/>
  <c r="AS326" i="2"/>
  <c r="AR326" i="2"/>
  <c r="AQ326" i="2"/>
  <c r="AP326" i="2"/>
  <c r="AO326" i="2"/>
  <c r="AS325" i="2"/>
  <c r="AR325" i="2"/>
  <c r="AQ325" i="2"/>
  <c r="AP325" i="2"/>
  <c r="AO325" i="2"/>
  <c r="AS324" i="2"/>
  <c r="AR324" i="2"/>
  <c r="AQ324" i="2"/>
  <c r="AP324" i="2"/>
  <c r="AO324" i="2"/>
  <c r="AS323" i="2"/>
  <c r="AR323" i="2"/>
  <c r="AQ323" i="2"/>
  <c r="AP323" i="2"/>
  <c r="AO323" i="2"/>
  <c r="AS322" i="2"/>
  <c r="AR322" i="2"/>
  <c r="AQ322" i="2"/>
  <c r="AP322" i="2"/>
  <c r="AO322" i="2"/>
  <c r="AS321" i="2"/>
  <c r="AR321" i="2"/>
  <c r="AQ321" i="2"/>
  <c r="AP321" i="2"/>
  <c r="AO321" i="2"/>
  <c r="AS320" i="2"/>
  <c r="AR320" i="2"/>
  <c r="AQ320" i="2"/>
  <c r="AP320" i="2"/>
  <c r="AO320" i="2"/>
  <c r="AS319" i="2"/>
  <c r="AR319" i="2"/>
  <c r="AQ319" i="2"/>
  <c r="AP319" i="2"/>
  <c r="AO319" i="2"/>
  <c r="AS318" i="2"/>
  <c r="AR318" i="2"/>
  <c r="AQ318" i="2"/>
  <c r="AP318" i="2"/>
  <c r="AO318" i="2"/>
  <c r="AS317" i="2"/>
  <c r="AR317" i="2"/>
  <c r="AQ317" i="2"/>
  <c r="AP317" i="2"/>
  <c r="AO317" i="2"/>
  <c r="AS316" i="2"/>
  <c r="AR316" i="2"/>
  <c r="AQ316" i="2"/>
  <c r="AP316" i="2"/>
  <c r="AO316" i="2"/>
  <c r="AS315" i="2"/>
  <c r="AR315" i="2"/>
  <c r="AQ315" i="2"/>
  <c r="AP315" i="2"/>
  <c r="AO315" i="2"/>
  <c r="AS314" i="2"/>
  <c r="AR314" i="2"/>
  <c r="AQ314" i="2"/>
  <c r="AP314" i="2"/>
  <c r="AO314" i="2"/>
  <c r="AS313" i="2"/>
  <c r="AR313" i="2"/>
  <c r="AQ313" i="2"/>
  <c r="AP313" i="2"/>
  <c r="AO313" i="2"/>
  <c r="AS312" i="2"/>
  <c r="AR312" i="2"/>
  <c r="AQ312" i="2"/>
  <c r="AP312" i="2"/>
  <c r="AO312" i="2"/>
  <c r="AS311" i="2"/>
  <c r="AR311" i="2"/>
  <c r="AQ311" i="2"/>
  <c r="AP311" i="2"/>
  <c r="AO311" i="2"/>
  <c r="AS310" i="2"/>
  <c r="AR310" i="2"/>
  <c r="AQ310" i="2"/>
  <c r="AP310" i="2"/>
  <c r="AO310" i="2"/>
  <c r="AS309" i="2"/>
  <c r="AR309" i="2"/>
  <c r="AQ309" i="2"/>
  <c r="AP309" i="2"/>
  <c r="AO309" i="2"/>
  <c r="AS308" i="2"/>
  <c r="AR308" i="2"/>
  <c r="AQ308" i="2"/>
  <c r="AP308" i="2"/>
  <c r="AO308" i="2"/>
  <c r="AS307" i="2"/>
  <c r="AR307" i="2"/>
  <c r="AQ307" i="2"/>
  <c r="AP307" i="2"/>
  <c r="AO307" i="2"/>
  <c r="AS306" i="2"/>
  <c r="AR306" i="2"/>
  <c r="AQ306" i="2"/>
  <c r="AP306" i="2"/>
  <c r="AO306" i="2"/>
  <c r="AS305" i="2"/>
  <c r="AR305" i="2"/>
  <c r="AQ305" i="2"/>
  <c r="AP305" i="2"/>
  <c r="AO305" i="2"/>
  <c r="AS304" i="2"/>
  <c r="AR304" i="2"/>
  <c r="AQ304" i="2"/>
  <c r="AP304" i="2"/>
  <c r="AO304" i="2"/>
  <c r="AS303" i="2"/>
  <c r="AR303" i="2"/>
  <c r="AQ303" i="2"/>
  <c r="AP303" i="2"/>
  <c r="AO303" i="2"/>
  <c r="AS302" i="2"/>
  <c r="AR302" i="2"/>
  <c r="AQ302" i="2"/>
  <c r="AP302" i="2"/>
  <c r="AO302" i="2"/>
  <c r="AS301" i="2"/>
  <c r="AR301" i="2"/>
  <c r="AQ301" i="2"/>
  <c r="AP301" i="2"/>
  <c r="AO301" i="2"/>
  <c r="AS300" i="2"/>
  <c r="AR300" i="2"/>
  <c r="AQ300" i="2"/>
  <c r="AP300" i="2"/>
  <c r="AO300" i="2"/>
  <c r="AS299" i="2"/>
  <c r="AR299" i="2"/>
  <c r="AQ299" i="2"/>
  <c r="AP299" i="2"/>
  <c r="AO299" i="2"/>
  <c r="AS298" i="2"/>
  <c r="AR298" i="2"/>
  <c r="AQ298" i="2"/>
  <c r="AP298" i="2"/>
  <c r="AO298" i="2"/>
  <c r="AS297" i="2"/>
  <c r="AR297" i="2"/>
  <c r="AQ297" i="2"/>
  <c r="AP297" i="2"/>
  <c r="AO297" i="2"/>
  <c r="AS296" i="2"/>
  <c r="AR296" i="2"/>
  <c r="AQ296" i="2"/>
  <c r="AP296" i="2"/>
  <c r="AO296" i="2"/>
  <c r="AS295" i="2"/>
  <c r="AR295" i="2"/>
  <c r="AQ295" i="2"/>
  <c r="AP295" i="2"/>
  <c r="AO295" i="2"/>
  <c r="AS294" i="2"/>
  <c r="AR294" i="2"/>
  <c r="AQ294" i="2"/>
  <c r="AP294" i="2"/>
  <c r="AO294" i="2"/>
  <c r="AS293" i="2"/>
  <c r="AR293" i="2"/>
  <c r="AQ293" i="2"/>
  <c r="AP293" i="2"/>
  <c r="AO293" i="2"/>
  <c r="AS292" i="2"/>
  <c r="AR292" i="2"/>
  <c r="AQ292" i="2"/>
  <c r="AP292" i="2"/>
  <c r="AO292" i="2"/>
  <c r="AS291" i="2"/>
  <c r="AR291" i="2"/>
  <c r="AQ291" i="2"/>
  <c r="AP291" i="2"/>
  <c r="AO291" i="2"/>
  <c r="AS290" i="2"/>
  <c r="AR290" i="2"/>
  <c r="AQ290" i="2"/>
  <c r="AP290" i="2"/>
  <c r="AO290" i="2"/>
  <c r="AS289" i="2"/>
  <c r="AR289" i="2"/>
  <c r="AQ289" i="2"/>
  <c r="AP289" i="2"/>
  <c r="AO289" i="2"/>
  <c r="AS288" i="2"/>
  <c r="AR288" i="2"/>
  <c r="AQ288" i="2"/>
  <c r="AP288" i="2"/>
  <c r="AO288" i="2"/>
  <c r="AS287" i="2"/>
  <c r="AR287" i="2"/>
  <c r="AQ287" i="2"/>
  <c r="AP287" i="2"/>
  <c r="AO287" i="2"/>
  <c r="AS286" i="2"/>
  <c r="AR286" i="2"/>
  <c r="AQ286" i="2"/>
  <c r="AP286" i="2"/>
  <c r="AO286" i="2"/>
  <c r="AS285" i="2"/>
  <c r="AR285" i="2"/>
  <c r="AQ285" i="2"/>
  <c r="AP285" i="2"/>
  <c r="AO285" i="2"/>
  <c r="AS284" i="2"/>
  <c r="AR284" i="2"/>
  <c r="AQ284" i="2"/>
  <c r="AP284" i="2"/>
  <c r="AO284" i="2"/>
  <c r="AS283" i="2"/>
  <c r="AR283" i="2"/>
  <c r="AQ283" i="2"/>
  <c r="AP283" i="2"/>
  <c r="AO283" i="2"/>
  <c r="AS282" i="2"/>
  <c r="AR282" i="2"/>
  <c r="AQ282" i="2"/>
  <c r="AP282" i="2"/>
  <c r="AO282" i="2"/>
  <c r="AS281" i="2"/>
  <c r="AR281" i="2"/>
  <c r="AQ281" i="2"/>
  <c r="AP281" i="2"/>
  <c r="AO281" i="2"/>
  <c r="AS280" i="2"/>
  <c r="AR280" i="2"/>
  <c r="AQ280" i="2"/>
  <c r="AP280" i="2"/>
  <c r="AO280" i="2"/>
  <c r="AS279" i="2"/>
  <c r="AR279" i="2"/>
  <c r="AQ279" i="2"/>
  <c r="AP279" i="2"/>
  <c r="AO279" i="2"/>
  <c r="AS278" i="2"/>
  <c r="AR278" i="2"/>
  <c r="AQ278" i="2"/>
  <c r="AP278" i="2"/>
  <c r="AO278" i="2"/>
  <c r="AS277" i="2"/>
  <c r="AR277" i="2"/>
  <c r="AQ277" i="2"/>
  <c r="AP277" i="2"/>
  <c r="AO277" i="2"/>
  <c r="AS276" i="2"/>
  <c r="AR276" i="2"/>
  <c r="AQ276" i="2"/>
  <c r="AP276" i="2"/>
  <c r="AO276" i="2"/>
  <c r="AS275" i="2"/>
  <c r="AR275" i="2"/>
  <c r="AQ275" i="2"/>
  <c r="AP275" i="2"/>
  <c r="AO275" i="2"/>
  <c r="AS274" i="2"/>
  <c r="AR274" i="2"/>
  <c r="AQ274" i="2"/>
  <c r="AP274" i="2"/>
  <c r="AO274" i="2"/>
  <c r="AS273" i="2"/>
  <c r="AR273" i="2"/>
  <c r="AQ273" i="2"/>
  <c r="AP273" i="2"/>
  <c r="AO273" i="2"/>
  <c r="AS272" i="2"/>
  <c r="AR272" i="2"/>
  <c r="AQ272" i="2"/>
  <c r="AP272" i="2"/>
  <c r="AO272" i="2"/>
  <c r="AS271" i="2"/>
  <c r="AR271" i="2"/>
  <c r="AQ271" i="2"/>
  <c r="AP271" i="2"/>
  <c r="AO271" i="2"/>
  <c r="AS270" i="2"/>
  <c r="AR270" i="2"/>
  <c r="AQ270" i="2"/>
  <c r="AP270" i="2"/>
  <c r="AO270" i="2"/>
  <c r="AS269" i="2"/>
  <c r="AR269" i="2"/>
  <c r="AQ269" i="2"/>
  <c r="AP269" i="2"/>
  <c r="AO269" i="2"/>
  <c r="AS268" i="2"/>
  <c r="AR268" i="2"/>
  <c r="AQ268" i="2"/>
  <c r="AP268" i="2"/>
  <c r="AO268" i="2"/>
  <c r="AS267" i="2"/>
  <c r="AR267" i="2"/>
  <c r="AQ267" i="2"/>
  <c r="AP267" i="2"/>
  <c r="AO267" i="2"/>
  <c r="AS266" i="2"/>
  <c r="AR266" i="2"/>
  <c r="AQ266" i="2"/>
  <c r="AP266" i="2"/>
  <c r="AO266" i="2"/>
  <c r="AS265" i="2"/>
  <c r="AR265" i="2"/>
  <c r="AQ265" i="2"/>
  <c r="AP265" i="2"/>
  <c r="AO265" i="2"/>
  <c r="AS264" i="2"/>
  <c r="AR264" i="2"/>
  <c r="AQ264" i="2"/>
  <c r="AP264" i="2"/>
  <c r="AO264" i="2"/>
  <c r="AS263" i="2"/>
  <c r="AR263" i="2"/>
  <c r="AQ263" i="2"/>
  <c r="AP263" i="2"/>
  <c r="AO263" i="2"/>
  <c r="AS262" i="2"/>
  <c r="AR262" i="2"/>
  <c r="AQ262" i="2"/>
  <c r="AP262" i="2"/>
  <c r="AO262" i="2"/>
  <c r="AS261" i="2"/>
  <c r="AR261" i="2"/>
  <c r="AQ261" i="2"/>
  <c r="AP261" i="2"/>
  <c r="AO261" i="2"/>
  <c r="AS260" i="2"/>
  <c r="AR260" i="2"/>
  <c r="AQ260" i="2"/>
  <c r="AP260" i="2"/>
  <c r="AO260" i="2"/>
  <c r="AS259" i="2"/>
  <c r="AR259" i="2"/>
  <c r="AQ259" i="2"/>
  <c r="AP259" i="2"/>
  <c r="AO259" i="2"/>
  <c r="AS258" i="2"/>
  <c r="AR258" i="2"/>
  <c r="AQ258" i="2"/>
  <c r="AP258" i="2"/>
  <c r="AO258" i="2"/>
  <c r="AS257" i="2"/>
  <c r="AR257" i="2"/>
  <c r="AQ257" i="2"/>
  <c r="AP257" i="2"/>
  <c r="AO257" i="2"/>
  <c r="AS256" i="2"/>
  <c r="AR256" i="2"/>
  <c r="AQ256" i="2"/>
  <c r="AP256" i="2"/>
  <c r="AO256" i="2"/>
  <c r="AS255" i="2"/>
  <c r="AR255" i="2"/>
  <c r="AQ255" i="2"/>
  <c r="AP255" i="2"/>
  <c r="AO255" i="2"/>
  <c r="AS254" i="2"/>
  <c r="AR254" i="2"/>
  <c r="AQ254" i="2"/>
  <c r="AP254" i="2"/>
  <c r="AO254" i="2"/>
  <c r="AS253" i="2"/>
  <c r="AR253" i="2"/>
  <c r="AQ253" i="2"/>
  <c r="AP253" i="2"/>
  <c r="AO253" i="2"/>
  <c r="AS252" i="2"/>
  <c r="AR252" i="2"/>
  <c r="AQ252" i="2"/>
  <c r="AP252" i="2"/>
  <c r="AO252" i="2"/>
  <c r="AS251" i="2"/>
  <c r="AR251" i="2"/>
  <c r="AQ251" i="2"/>
  <c r="AP251" i="2"/>
  <c r="AO251" i="2"/>
  <c r="AS250" i="2"/>
  <c r="AR250" i="2"/>
  <c r="AQ250" i="2"/>
  <c r="AP250" i="2"/>
  <c r="AO250" i="2"/>
  <c r="AS249" i="2"/>
  <c r="AR249" i="2"/>
  <c r="AQ249" i="2"/>
  <c r="AP249" i="2"/>
  <c r="AO249" i="2"/>
  <c r="AS248" i="2"/>
  <c r="AR248" i="2"/>
  <c r="AQ248" i="2"/>
  <c r="AP248" i="2"/>
  <c r="AO248" i="2"/>
  <c r="AS247" i="2"/>
  <c r="AR247" i="2"/>
  <c r="AQ247" i="2"/>
  <c r="AP247" i="2"/>
  <c r="AO247" i="2"/>
  <c r="AS246" i="2"/>
  <c r="AR246" i="2"/>
  <c r="AQ246" i="2"/>
  <c r="AP246" i="2"/>
  <c r="AO246" i="2"/>
  <c r="AS245" i="2"/>
  <c r="AR245" i="2"/>
  <c r="AQ245" i="2"/>
  <c r="AP245" i="2"/>
  <c r="AO245" i="2"/>
  <c r="AS244" i="2"/>
  <c r="AR244" i="2"/>
  <c r="AQ244" i="2"/>
  <c r="AP244" i="2"/>
  <c r="AO244" i="2"/>
  <c r="AS243" i="2"/>
  <c r="AR243" i="2"/>
  <c r="AQ243" i="2"/>
  <c r="AP243" i="2"/>
  <c r="AO243" i="2"/>
  <c r="AS242" i="2"/>
  <c r="AR242" i="2"/>
  <c r="AQ242" i="2"/>
  <c r="AP242" i="2"/>
  <c r="AO242" i="2"/>
  <c r="AS241" i="2"/>
  <c r="AR241" i="2"/>
  <c r="AQ241" i="2"/>
  <c r="AP241" i="2"/>
  <c r="AO241" i="2"/>
  <c r="AS240" i="2"/>
  <c r="AR240" i="2"/>
  <c r="AQ240" i="2"/>
  <c r="AP240" i="2"/>
  <c r="AO240" i="2"/>
  <c r="AS239" i="2"/>
  <c r="AR239" i="2"/>
  <c r="AQ239" i="2"/>
  <c r="AP239" i="2"/>
  <c r="AO239" i="2"/>
  <c r="AS238" i="2"/>
  <c r="AR238" i="2"/>
  <c r="AQ238" i="2"/>
  <c r="AP238" i="2"/>
  <c r="AO238" i="2"/>
  <c r="AS237" i="2"/>
  <c r="AR237" i="2"/>
  <c r="AQ237" i="2"/>
  <c r="AP237" i="2"/>
  <c r="AO237" i="2"/>
  <c r="AS236" i="2"/>
  <c r="AR236" i="2"/>
  <c r="AQ236" i="2"/>
  <c r="AP236" i="2"/>
  <c r="AO236" i="2"/>
  <c r="AS235" i="2"/>
  <c r="AR235" i="2"/>
  <c r="AQ235" i="2"/>
  <c r="AP235" i="2"/>
  <c r="AO235" i="2"/>
  <c r="AS234" i="2"/>
  <c r="AR234" i="2"/>
  <c r="AQ234" i="2"/>
  <c r="AP234" i="2"/>
  <c r="AO234" i="2"/>
  <c r="AS233" i="2"/>
  <c r="AR233" i="2"/>
  <c r="AQ233" i="2"/>
  <c r="AP233" i="2"/>
  <c r="AO233" i="2"/>
  <c r="AS232" i="2"/>
  <c r="AR232" i="2"/>
  <c r="AQ232" i="2"/>
  <c r="AP232" i="2"/>
  <c r="AO232" i="2"/>
  <c r="AS231" i="2"/>
  <c r="AR231" i="2"/>
  <c r="AQ231" i="2"/>
  <c r="AP231" i="2"/>
  <c r="AO231" i="2"/>
  <c r="AS230" i="2"/>
  <c r="AR230" i="2"/>
  <c r="AQ230" i="2"/>
  <c r="AP230" i="2"/>
  <c r="AO230" i="2"/>
  <c r="AS229" i="2"/>
  <c r="AR229" i="2"/>
  <c r="AQ229" i="2"/>
  <c r="AP229" i="2"/>
  <c r="AO229" i="2"/>
  <c r="AS228" i="2"/>
  <c r="AR228" i="2"/>
  <c r="AQ228" i="2"/>
  <c r="AP228" i="2"/>
  <c r="AO228" i="2"/>
  <c r="AS227" i="2"/>
  <c r="AR227" i="2"/>
  <c r="AQ227" i="2"/>
  <c r="AP227" i="2"/>
  <c r="AO227" i="2"/>
  <c r="AS226" i="2"/>
  <c r="AR226" i="2"/>
  <c r="AQ226" i="2"/>
  <c r="AP226" i="2"/>
  <c r="AO226" i="2"/>
  <c r="AS225" i="2"/>
  <c r="AR225" i="2"/>
  <c r="AQ225" i="2"/>
  <c r="AP225" i="2"/>
  <c r="AO225" i="2"/>
  <c r="AS224" i="2"/>
  <c r="AR224" i="2"/>
  <c r="AQ224" i="2"/>
  <c r="AP224" i="2"/>
  <c r="AO224" i="2"/>
  <c r="AS223" i="2"/>
  <c r="AR223" i="2"/>
  <c r="AQ223" i="2"/>
  <c r="AP223" i="2"/>
  <c r="AO223" i="2"/>
  <c r="AS222" i="2"/>
  <c r="AR222" i="2"/>
  <c r="AQ222" i="2"/>
  <c r="AP222" i="2"/>
  <c r="AO222" i="2"/>
  <c r="AS221" i="2"/>
  <c r="AR221" i="2"/>
  <c r="AQ221" i="2"/>
  <c r="AP221" i="2"/>
  <c r="AO221" i="2"/>
  <c r="AS220" i="2"/>
  <c r="AR220" i="2"/>
  <c r="AQ220" i="2"/>
  <c r="AP220" i="2"/>
  <c r="AO220" i="2"/>
  <c r="AS219" i="2"/>
  <c r="AR219" i="2"/>
  <c r="AQ219" i="2"/>
  <c r="AP219" i="2"/>
  <c r="AO219" i="2"/>
  <c r="AS218" i="2"/>
  <c r="AR218" i="2"/>
  <c r="AQ218" i="2"/>
  <c r="AP218" i="2"/>
  <c r="AO218" i="2"/>
  <c r="AS217" i="2"/>
  <c r="AR217" i="2"/>
  <c r="AQ217" i="2"/>
  <c r="AP217" i="2"/>
  <c r="AO217" i="2"/>
  <c r="AS216" i="2"/>
  <c r="AR216" i="2"/>
  <c r="AQ216" i="2"/>
  <c r="AP216" i="2"/>
  <c r="AO216" i="2"/>
  <c r="AS215" i="2"/>
  <c r="AR215" i="2"/>
  <c r="AQ215" i="2"/>
  <c r="AP215" i="2"/>
  <c r="AO215" i="2"/>
  <c r="AS214" i="2"/>
  <c r="AR214" i="2"/>
  <c r="AQ214" i="2"/>
  <c r="AP214" i="2"/>
  <c r="AO214" i="2"/>
  <c r="AS213" i="2"/>
  <c r="AR213" i="2"/>
  <c r="AQ213" i="2"/>
  <c r="AP213" i="2"/>
  <c r="AO213" i="2"/>
  <c r="AS212" i="2"/>
  <c r="AR212" i="2"/>
  <c r="AQ212" i="2"/>
  <c r="AP212" i="2"/>
  <c r="AO212" i="2"/>
  <c r="AS211" i="2"/>
  <c r="AR211" i="2"/>
  <c r="AQ211" i="2"/>
  <c r="AP211" i="2"/>
  <c r="AO211" i="2"/>
  <c r="AS210" i="2"/>
  <c r="AR210" i="2"/>
  <c r="AQ210" i="2"/>
  <c r="AP210" i="2"/>
  <c r="AO210" i="2"/>
  <c r="AS209" i="2"/>
  <c r="AR209" i="2"/>
  <c r="AQ209" i="2"/>
  <c r="AP209" i="2"/>
  <c r="AO209" i="2"/>
  <c r="AS208" i="2"/>
  <c r="AR208" i="2"/>
  <c r="AQ208" i="2"/>
  <c r="AP208" i="2"/>
  <c r="AO208" i="2"/>
  <c r="AS207" i="2"/>
  <c r="AR207" i="2"/>
  <c r="AQ207" i="2"/>
  <c r="AP207" i="2"/>
  <c r="AO207" i="2"/>
  <c r="AS206" i="2"/>
  <c r="AR206" i="2"/>
  <c r="AQ206" i="2"/>
  <c r="AP206" i="2"/>
  <c r="AO206" i="2"/>
  <c r="AS205" i="2"/>
  <c r="AR205" i="2"/>
  <c r="AQ205" i="2"/>
  <c r="AP205" i="2"/>
  <c r="AO205" i="2"/>
  <c r="AS204" i="2"/>
  <c r="AR204" i="2"/>
  <c r="AQ204" i="2"/>
  <c r="AP204" i="2"/>
  <c r="AO204" i="2"/>
  <c r="AS203" i="2"/>
  <c r="AR203" i="2"/>
  <c r="AQ203" i="2"/>
  <c r="AP203" i="2"/>
  <c r="AO203" i="2"/>
  <c r="AS202" i="2"/>
  <c r="AR202" i="2"/>
  <c r="AQ202" i="2"/>
  <c r="AP202" i="2"/>
  <c r="AO202" i="2"/>
  <c r="AS201" i="2"/>
  <c r="AR201" i="2"/>
  <c r="AQ201" i="2"/>
  <c r="AP201" i="2"/>
  <c r="AO201" i="2"/>
  <c r="AS200" i="2"/>
  <c r="AR200" i="2"/>
  <c r="AQ200" i="2"/>
  <c r="AP200" i="2"/>
  <c r="AO200" i="2"/>
  <c r="AS199" i="2"/>
  <c r="AR199" i="2"/>
  <c r="AQ199" i="2"/>
  <c r="AP199" i="2"/>
  <c r="AO199" i="2"/>
  <c r="AS198" i="2"/>
  <c r="AR198" i="2"/>
  <c r="AQ198" i="2"/>
  <c r="AP198" i="2"/>
  <c r="AO198" i="2"/>
  <c r="AS197" i="2"/>
  <c r="AR197" i="2"/>
  <c r="AQ197" i="2"/>
  <c r="AP197" i="2"/>
  <c r="AO197" i="2"/>
  <c r="AS196" i="2"/>
  <c r="AR196" i="2"/>
  <c r="AQ196" i="2"/>
  <c r="AP196" i="2"/>
  <c r="AO196" i="2"/>
  <c r="AS195" i="2"/>
  <c r="AR195" i="2"/>
  <c r="AQ195" i="2"/>
  <c r="AP195" i="2"/>
  <c r="AO195" i="2"/>
  <c r="AS194" i="2"/>
  <c r="AR194" i="2"/>
  <c r="AQ194" i="2"/>
  <c r="AP194" i="2"/>
  <c r="AO194" i="2"/>
  <c r="AS193" i="2"/>
  <c r="AR193" i="2"/>
  <c r="AQ193" i="2"/>
  <c r="AP193" i="2"/>
  <c r="AO193" i="2"/>
  <c r="AS192" i="2"/>
  <c r="AR192" i="2"/>
  <c r="AQ192" i="2"/>
  <c r="AP192" i="2"/>
  <c r="AO192" i="2"/>
  <c r="AS191" i="2"/>
  <c r="AR191" i="2"/>
  <c r="AQ191" i="2"/>
  <c r="AP191" i="2"/>
  <c r="AO191" i="2"/>
  <c r="AS190" i="2"/>
  <c r="AR190" i="2"/>
  <c r="AQ190" i="2"/>
  <c r="AP190" i="2"/>
  <c r="AO190" i="2"/>
  <c r="AS189" i="2"/>
  <c r="AR189" i="2"/>
  <c r="AQ189" i="2"/>
  <c r="AP189" i="2"/>
  <c r="AO189" i="2"/>
  <c r="AS188" i="2"/>
  <c r="AR188" i="2"/>
  <c r="AQ188" i="2"/>
  <c r="AP188" i="2"/>
  <c r="AO188" i="2"/>
  <c r="AS187" i="2"/>
  <c r="AR187" i="2"/>
  <c r="AQ187" i="2"/>
  <c r="AP187" i="2"/>
  <c r="AO187" i="2"/>
  <c r="AS186" i="2"/>
  <c r="AR186" i="2"/>
  <c r="AQ186" i="2"/>
  <c r="AP186" i="2"/>
  <c r="AO186" i="2"/>
  <c r="AS185" i="2"/>
  <c r="AR185" i="2"/>
  <c r="AQ185" i="2"/>
  <c r="AP185" i="2"/>
  <c r="AO185" i="2"/>
  <c r="AS184" i="2"/>
  <c r="AR184" i="2"/>
  <c r="AQ184" i="2"/>
  <c r="AP184" i="2"/>
  <c r="AO184" i="2"/>
  <c r="AS183" i="2"/>
  <c r="AR183" i="2"/>
  <c r="AQ183" i="2"/>
  <c r="AP183" i="2"/>
  <c r="AO183" i="2"/>
  <c r="AS182" i="2"/>
  <c r="AR182" i="2"/>
  <c r="AQ182" i="2"/>
  <c r="AP182" i="2"/>
  <c r="AO182" i="2"/>
  <c r="AS181" i="2"/>
  <c r="AR181" i="2"/>
  <c r="AQ181" i="2"/>
  <c r="AP181" i="2"/>
  <c r="AO181" i="2"/>
  <c r="AS180" i="2"/>
  <c r="AR180" i="2"/>
  <c r="AQ180" i="2"/>
  <c r="AP180" i="2"/>
  <c r="AO180" i="2"/>
  <c r="AS179" i="2"/>
  <c r="AR179" i="2"/>
  <c r="AQ179" i="2"/>
  <c r="AP179" i="2"/>
  <c r="AO179" i="2"/>
  <c r="AS178" i="2"/>
  <c r="AR178" i="2"/>
  <c r="AQ178" i="2"/>
  <c r="AP178" i="2"/>
  <c r="AO178" i="2"/>
  <c r="AS177" i="2"/>
  <c r="AR177" i="2"/>
  <c r="AQ177" i="2"/>
  <c r="AP177" i="2"/>
  <c r="AO177" i="2"/>
  <c r="AS176" i="2"/>
  <c r="AR176" i="2"/>
  <c r="AQ176" i="2"/>
  <c r="AP176" i="2"/>
  <c r="AO176" i="2"/>
  <c r="AS175" i="2"/>
  <c r="AR175" i="2"/>
  <c r="AQ175" i="2"/>
  <c r="AP175" i="2"/>
  <c r="AO175" i="2"/>
  <c r="AS174" i="2"/>
  <c r="AR174" i="2"/>
  <c r="AQ174" i="2"/>
  <c r="AP174" i="2"/>
  <c r="AO174" i="2"/>
  <c r="AS173" i="2"/>
  <c r="AR173" i="2"/>
  <c r="AQ173" i="2"/>
  <c r="AP173" i="2"/>
  <c r="AO173" i="2"/>
  <c r="AS172" i="2"/>
  <c r="AR172" i="2"/>
  <c r="AQ172" i="2"/>
  <c r="AP172" i="2"/>
  <c r="AO172" i="2"/>
  <c r="AS171" i="2"/>
  <c r="AR171" i="2"/>
  <c r="AQ171" i="2"/>
  <c r="AP171" i="2"/>
  <c r="AO171" i="2"/>
  <c r="AS170" i="2"/>
  <c r="AR170" i="2"/>
  <c r="AQ170" i="2"/>
  <c r="AP170" i="2"/>
  <c r="AO170" i="2"/>
  <c r="AS169" i="2"/>
  <c r="AR169" i="2"/>
  <c r="AQ169" i="2"/>
  <c r="AP169" i="2"/>
  <c r="AO169" i="2"/>
  <c r="AS168" i="2"/>
  <c r="AR168" i="2"/>
  <c r="AQ168" i="2"/>
  <c r="AP168" i="2"/>
  <c r="AO168" i="2"/>
  <c r="AS167" i="2"/>
  <c r="AR167" i="2"/>
  <c r="AQ167" i="2"/>
  <c r="AP167" i="2"/>
  <c r="AO167" i="2"/>
  <c r="AS166" i="2"/>
  <c r="AR166" i="2"/>
  <c r="AQ166" i="2"/>
  <c r="AP166" i="2"/>
  <c r="AO166" i="2"/>
  <c r="AS165" i="2"/>
  <c r="AR165" i="2"/>
  <c r="AQ165" i="2"/>
  <c r="AP165" i="2"/>
  <c r="AO165" i="2"/>
  <c r="AS164" i="2"/>
  <c r="AR164" i="2"/>
  <c r="AQ164" i="2"/>
  <c r="AP164" i="2"/>
  <c r="AO164" i="2"/>
  <c r="AS163" i="2"/>
  <c r="AR163" i="2"/>
  <c r="AQ163" i="2"/>
  <c r="AP163" i="2"/>
  <c r="AO163" i="2"/>
  <c r="AS162" i="2"/>
  <c r="AR162" i="2"/>
  <c r="AQ162" i="2"/>
  <c r="AP162" i="2"/>
  <c r="AO162" i="2"/>
  <c r="AS161" i="2"/>
  <c r="AR161" i="2"/>
  <c r="AQ161" i="2"/>
  <c r="AP161" i="2"/>
  <c r="AO161" i="2"/>
  <c r="AS160" i="2"/>
  <c r="AR160" i="2"/>
  <c r="AQ160" i="2"/>
  <c r="AP160" i="2"/>
  <c r="AO160" i="2"/>
  <c r="AS159" i="2"/>
  <c r="AR159" i="2"/>
  <c r="AQ159" i="2"/>
  <c r="AP159" i="2"/>
  <c r="AO159" i="2"/>
  <c r="AS158" i="2"/>
  <c r="AR158" i="2"/>
  <c r="AQ158" i="2"/>
  <c r="AP158" i="2"/>
  <c r="AO158" i="2"/>
  <c r="AS157" i="2"/>
  <c r="AR157" i="2"/>
  <c r="AQ157" i="2"/>
  <c r="AP157" i="2"/>
  <c r="AO157" i="2"/>
  <c r="AS156" i="2"/>
  <c r="AR156" i="2"/>
  <c r="AQ156" i="2"/>
  <c r="AP156" i="2"/>
  <c r="AO156" i="2"/>
  <c r="AS155" i="2"/>
  <c r="AR155" i="2"/>
  <c r="AQ155" i="2"/>
  <c r="AP155" i="2"/>
  <c r="AO155" i="2"/>
  <c r="AS154" i="2"/>
  <c r="AR154" i="2"/>
  <c r="AQ154" i="2"/>
  <c r="AP154" i="2"/>
  <c r="AO154" i="2"/>
  <c r="AS153" i="2"/>
  <c r="AR153" i="2"/>
  <c r="AQ153" i="2"/>
  <c r="AP153" i="2"/>
  <c r="AO153" i="2"/>
  <c r="AS152" i="2"/>
  <c r="AR152" i="2"/>
  <c r="AQ152" i="2"/>
  <c r="AP152" i="2"/>
  <c r="AO152" i="2"/>
  <c r="AS151" i="2"/>
  <c r="AR151" i="2"/>
  <c r="AQ151" i="2"/>
  <c r="AP151" i="2"/>
  <c r="AO151" i="2"/>
  <c r="AS150" i="2"/>
  <c r="AR150" i="2"/>
  <c r="AQ150" i="2"/>
  <c r="AP150" i="2"/>
  <c r="AO150" i="2"/>
  <c r="AS149" i="2"/>
  <c r="AR149" i="2"/>
  <c r="AQ149" i="2"/>
  <c r="AP149" i="2"/>
  <c r="AO149" i="2"/>
  <c r="AS148" i="2"/>
  <c r="AR148" i="2"/>
  <c r="AQ148" i="2"/>
  <c r="AP148" i="2"/>
  <c r="AO148" i="2"/>
  <c r="AS147" i="2"/>
  <c r="AR147" i="2"/>
  <c r="AQ147" i="2"/>
  <c r="AP147" i="2"/>
  <c r="AO147" i="2"/>
  <c r="AS146" i="2"/>
  <c r="AR146" i="2"/>
  <c r="AQ146" i="2"/>
  <c r="AP146" i="2"/>
  <c r="AO146" i="2"/>
  <c r="AS145" i="2"/>
  <c r="AR145" i="2"/>
  <c r="AQ145" i="2"/>
  <c r="AP145" i="2"/>
  <c r="AO145" i="2"/>
  <c r="AS144" i="2"/>
  <c r="AR144" i="2"/>
  <c r="AQ144" i="2"/>
  <c r="AP144" i="2"/>
  <c r="AO144" i="2"/>
  <c r="AS143" i="2"/>
  <c r="AR143" i="2"/>
  <c r="AQ143" i="2"/>
  <c r="AP143" i="2"/>
  <c r="AO143" i="2"/>
  <c r="AS142" i="2"/>
  <c r="AR142" i="2"/>
  <c r="AQ142" i="2"/>
  <c r="AP142" i="2"/>
  <c r="AO142" i="2"/>
  <c r="AS141" i="2"/>
  <c r="AR141" i="2"/>
  <c r="AQ141" i="2"/>
  <c r="AP141" i="2"/>
  <c r="AO141" i="2"/>
  <c r="AS140" i="2"/>
  <c r="AR140" i="2"/>
  <c r="AQ140" i="2"/>
  <c r="AP140" i="2"/>
  <c r="AO140" i="2"/>
  <c r="AS139" i="2"/>
  <c r="AR139" i="2"/>
  <c r="AQ139" i="2"/>
  <c r="AP139" i="2"/>
  <c r="AO139" i="2"/>
  <c r="AS138" i="2"/>
  <c r="AR138" i="2"/>
  <c r="AQ138" i="2"/>
  <c r="AP138" i="2"/>
  <c r="AO138" i="2"/>
  <c r="AS137" i="2"/>
  <c r="AR137" i="2"/>
  <c r="AQ137" i="2"/>
  <c r="AP137" i="2"/>
  <c r="AO137" i="2"/>
  <c r="AS136" i="2"/>
  <c r="AR136" i="2"/>
  <c r="AQ136" i="2"/>
  <c r="AP136" i="2"/>
  <c r="AO136" i="2"/>
  <c r="AS135" i="2"/>
  <c r="AR135" i="2"/>
  <c r="AQ135" i="2"/>
  <c r="AP135" i="2"/>
  <c r="AO135" i="2"/>
  <c r="AS134" i="2"/>
  <c r="AR134" i="2"/>
  <c r="AQ134" i="2"/>
  <c r="AP134" i="2"/>
  <c r="AO134" i="2"/>
  <c r="AS133" i="2"/>
  <c r="AR133" i="2"/>
  <c r="AQ133" i="2"/>
  <c r="AP133" i="2"/>
  <c r="AO133" i="2"/>
  <c r="AS132" i="2"/>
  <c r="AR132" i="2"/>
  <c r="AQ132" i="2"/>
  <c r="AP132" i="2"/>
  <c r="AO132" i="2"/>
  <c r="AS131" i="2"/>
  <c r="AR131" i="2"/>
  <c r="AQ131" i="2"/>
  <c r="AP131" i="2"/>
  <c r="AO131" i="2"/>
  <c r="AS130" i="2"/>
  <c r="AR130" i="2"/>
  <c r="AQ130" i="2"/>
  <c r="AP130" i="2"/>
  <c r="AO130" i="2"/>
  <c r="AS129" i="2"/>
  <c r="AR129" i="2"/>
  <c r="AQ129" i="2"/>
  <c r="AP129" i="2"/>
  <c r="AO129" i="2"/>
  <c r="AS128" i="2"/>
  <c r="AR128" i="2"/>
  <c r="AQ128" i="2"/>
  <c r="AP128" i="2"/>
  <c r="AO128" i="2"/>
  <c r="AS127" i="2"/>
  <c r="AR127" i="2"/>
  <c r="AQ127" i="2"/>
  <c r="AP127" i="2"/>
  <c r="AO127" i="2"/>
  <c r="AS126" i="2"/>
  <c r="AR126" i="2"/>
  <c r="AQ126" i="2"/>
  <c r="AP126" i="2"/>
  <c r="AO126" i="2"/>
  <c r="AS125" i="2"/>
  <c r="AR125" i="2"/>
  <c r="AQ125" i="2"/>
  <c r="AP125" i="2"/>
  <c r="AO125" i="2"/>
  <c r="AS124" i="2"/>
  <c r="AR124" i="2"/>
  <c r="AQ124" i="2"/>
  <c r="AP124" i="2"/>
  <c r="AO124" i="2"/>
  <c r="AS123" i="2"/>
  <c r="AR123" i="2"/>
  <c r="AQ123" i="2"/>
  <c r="AP123" i="2"/>
  <c r="AO123" i="2"/>
  <c r="AS122" i="2"/>
  <c r="AR122" i="2"/>
  <c r="AQ122" i="2"/>
  <c r="AP122" i="2"/>
  <c r="AO122" i="2"/>
  <c r="AS121" i="2"/>
  <c r="AR121" i="2"/>
  <c r="AQ121" i="2"/>
  <c r="AP121" i="2"/>
  <c r="AO121" i="2"/>
  <c r="AS120" i="2"/>
  <c r="AR120" i="2"/>
  <c r="AQ120" i="2"/>
  <c r="AP120" i="2"/>
  <c r="AO120" i="2"/>
  <c r="AS119" i="2"/>
  <c r="AR119" i="2"/>
  <c r="AQ119" i="2"/>
  <c r="AP119" i="2"/>
  <c r="AO119" i="2"/>
  <c r="AS118" i="2"/>
  <c r="AR118" i="2"/>
  <c r="AQ118" i="2"/>
  <c r="AP118" i="2"/>
  <c r="AO118" i="2"/>
  <c r="AS117" i="2"/>
  <c r="AR117" i="2"/>
  <c r="AQ117" i="2"/>
  <c r="AP117" i="2"/>
  <c r="AO117" i="2"/>
  <c r="AS116" i="2"/>
  <c r="AR116" i="2"/>
  <c r="AQ116" i="2"/>
  <c r="AP116" i="2"/>
  <c r="AO116" i="2"/>
  <c r="AS115" i="2"/>
  <c r="AR115" i="2"/>
  <c r="AQ115" i="2"/>
  <c r="AP115" i="2"/>
  <c r="AO115" i="2"/>
  <c r="AS114" i="2"/>
  <c r="AR114" i="2"/>
  <c r="AQ114" i="2"/>
  <c r="AP114" i="2"/>
  <c r="AO114" i="2"/>
  <c r="AS113" i="2"/>
  <c r="AR113" i="2"/>
  <c r="AQ113" i="2"/>
  <c r="AP113" i="2"/>
  <c r="AO113" i="2"/>
  <c r="AS112" i="2"/>
  <c r="AR112" i="2"/>
  <c r="AQ112" i="2"/>
  <c r="AP112" i="2"/>
  <c r="AO112" i="2"/>
  <c r="AS111" i="2"/>
  <c r="AR111" i="2"/>
  <c r="AQ111" i="2"/>
  <c r="AP111" i="2"/>
  <c r="AO111" i="2"/>
  <c r="AS110" i="2"/>
  <c r="AR110" i="2"/>
  <c r="AQ110" i="2"/>
  <c r="AP110" i="2"/>
  <c r="AO110" i="2"/>
  <c r="AS109" i="2"/>
  <c r="AR109" i="2"/>
  <c r="AQ109" i="2"/>
  <c r="AP109" i="2"/>
  <c r="AO109" i="2"/>
  <c r="AS108" i="2"/>
  <c r="AR108" i="2"/>
  <c r="AQ108" i="2"/>
  <c r="AP108" i="2"/>
  <c r="AO108" i="2"/>
  <c r="AS107" i="2"/>
  <c r="AR107" i="2"/>
  <c r="AQ107" i="2"/>
  <c r="AP107" i="2"/>
  <c r="AO107" i="2"/>
  <c r="AS106" i="2"/>
  <c r="AR106" i="2"/>
  <c r="AQ106" i="2"/>
  <c r="AP106" i="2"/>
  <c r="AO106" i="2"/>
  <c r="AS105" i="2"/>
  <c r="AR105" i="2"/>
  <c r="AQ105" i="2"/>
  <c r="AP105" i="2"/>
  <c r="AO105" i="2"/>
  <c r="AS104" i="2"/>
  <c r="AR104" i="2"/>
  <c r="AQ104" i="2"/>
  <c r="AP104" i="2"/>
  <c r="AO104" i="2"/>
  <c r="AS103" i="2"/>
  <c r="AR103" i="2"/>
  <c r="AQ103" i="2"/>
  <c r="AP103" i="2"/>
  <c r="AO103" i="2"/>
  <c r="AS102" i="2"/>
  <c r="AR102" i="2"/>
  <c r="AQ102" i="2"/>
  <c r="AP102" i="2"/>
  <c r="AO102" i="2"/>
  <c r="AS101" i="2"/>
  <c r="AR101" i="2"/>
  <c r="AQ101" i="2"/>
  <c r="AP101" i="2"/>
  <c r="AO101" i="2"/>
  <c r="AS100" i="2"/>
  <c r="AR100" i="2"/>
  <c r="AQ100" i="2"/>
  <c r="AP100" i="2"/>
  <c r="AO100" i="2"/>
  <c r="AS99" i="2"/>
  <c r="AR99" i="2"/>
  <c r="AQ99" i="2"/>
  <c r="AP99" i="2"/>
  <c r="AO99" i="2"/>
  <c r="AS98" i="2"/>
  <c r="AR98" i="2"/>
  <c r="AQ98" i="2"/>
  <c r="AP98" i="2"/>
  <c r="AO98" i="2"/>
  <c r="AS97" i="2"/>
  <c r="AR97" i="2"/>
  <c r="AQ97" i="2"/>
  <c r="AP97" i="2"/>
  <c r="AO97" i="2"/>
  <c r="AS96" i="2"/>
  <c r="AR96" i="2"/>
  <c r="AQ96" i="2"/>
  <c r="AP96" i="2"/>
  <c r="AO96" i="2"/>
  <c r="AS95" i="2"/>
  <c r="AR95" i="2"/>
  <c r="AQ95" i="2"/>
  <c r="AP95" i="2"/>
  <c r="AO95" i="2"/>
  <c r="AS94" i="2"/>
  <c r="AR94" i="2"/>
  <c r="AQ94" i="2"/>
  <c r="AP94" i="2"/>
  <c r="AO94" i="2"/>
  <c r="AS93" i="2"/>
  <c r="AR93" i="2"/>
  <c r="AQ93" i="2"/>
  <c r="AP93" i="2"/>
  <c r="AO93" i="2"/>
  <c r="AS92" i="2"/>
  <c r="AR92" i="2"/>
  <c r="AQ92" i="2"/>
  <c r="AP92" i="2"/>
  <c r="AO92" i="2"/>
  <c r="AS91" i="2"/>
  <c r="AR91" i="2"/>
  <c r="AQ91" i="2"/>
  <c r="AP91" i="2"/>
  <c r="AO91" i="2"/>
  <c r="AS90" i="2"/>
  <c r="AR90" i="2"/>
  <c r="AQ90" i="2"/>
  <c r="AP90" i="2"/>
  <c r="AO90" i="2"/>
  <c r="AS89" i="2"/>
  <c r="AR89" i="2"/>
  <c r="AQ89" i="2"/>
  <c r="AP89" i="2"/>
  <c r="AO89" i="2"/>
  <c r="AS88" i="2"/>
  <c r="AR88" i="2"/>
  <c r="AQ88" i="2"/>
  <c r="AP88" i="2"/>
  <c r="AO88" i="2"/>
  <c r="AS87" i="2"/>
  <c r="AR87" i="2"/>
  <c r="AQ87" i="2"/>
  <c r="AP87" i="2"/>
  <c r="AO87" i="2"/>
  <c r="AS86" i="2"/>
  <c r="AR86" i="2"/>
  <c r="AQ86" i="2"/>
  <c r="AP86" i="2"/>
  <c r="AO86" i="2"/>
  <c r="AS85" i="2"/>
  <c r="AR85" i="2"/>
  <c r="AQ85" i="2"/>
  <c r="AP85" i="2"/>
  <c r="AO85" i="2"/>
  <c r="AS84" i="2"/>
  <c r="AR84" i="2"/>
  <c r="AQ84" i="2"/>
  <c r="AP84" i="2"/>
  <c r="AO84" i="2"/>
  <c r="AS83" i="2"/>
  <c r="AR83" i="2"/>
  <c r="AQ83" i="2"/>
  <c r="AP83" i="2"/>
  <c r="AO83" i="2"/>
  <c r="AS82" i="2"/>
  <c r="AR82" i="2"/>
  <c r="AQ82" i="2"/>
  <c r="AP82" i="2"/>
  <c r="AO82" i="2"/>
  <c r="AS81" i="2"/>
  <c r="AR81" i="2"/>
  <c r="AQ81" i="2"/>
  <c r="AP81" i="2"/>
  <c r="AO81" i="2"/>
  <c r="AS80" i="2"/>
  <c r="AR80" i="2"/>
  <c r="AQ80" i="2"/>
  <c r="AP80" i="2"/>
  <c r="AO80" i="2"/>
  <c r="AS79" i="2"/>
  <c r="AR79" i="2"/>
  <c r="AQ79" i="2"/>
  <c r="AP79" i="2"/>
  <c r="AO79" i="2"/>
  <c r="AS78" i="2"/>
  <c r="AR78" i="2"/>
  <c r="AQ78" i="2"/>
  <c r="AP78" i="2"/>
  <c r="AO78" i="2"/>
  <c r="AS77" i="2"/>
  <c r="AR77" i="2"/>
  <c r="AQ77" i="2"/>
  <c r="AP77" i="2"/>
  <c r="AO77" i="2"/>
  <c r="AS76" i="2"/>
  <c r="AR76" i="2"/>
  <c r="AQ76" i="2"/>
  <c r="AP76" i="2"/>
  <c r="AO76" i="2"/>
  <c r="AS75" i="2"/>
  <c r="AR75" i="2"/>
  <c r="AQ75" i="2"/>
  <c r="AP75" i="2"/>
  <c r="AO75" i="2"/>
  <c r="AS74" i="2"/>
  <c r="AR74" i="2"/>
  <c r="AQ74" i="2"/>
  <c r="AP74" i="2"/>
  <c r="AO74" i="2"/>
  <c r="AS73" i="2"/>
  <c r="AR73" i="2"/>
  <c r="AQ73" i="2"/>
  <c r="AP73" i="2"/>
  <c r="AO73" i="2"/>
  <c r="AS72" i="2"/>
  <c r="AR72" i="2"/>
  <c r="AQ72" i="2"/>
  <c r="AP72" i="2"/>
  <c r="AO72" i="2"/>
  <c r="AS71" i="2"/>
  <c r="AR71" i="2"/>
  <c r="AQ71" i="2"/>
  <c r="AP71" i="2"/>
  <c r="AO71" i="2"/>
  <c r="AS70" i="2"/>
  <c r="AR70" i="2"/>
  <c r="AQ70" i="2"/>
  <c r="AP70" i="2"/>
  <c r="AO70" i="2"/>
  <c r="AS69" i="2"/>
  <c r="AR69" i="2"/>
  <c r="AQ69" i="2"/>
  <c r="AP69" i="2"/>
  <c r="AO69" i="2"/>
  <c r="AS68" i="2"/>
  <c r="AR68" i="2"/>
  <c r="AQ68" i="2"/>
  <c r="AP68" i="2"/>
  <c r="AO68" i="2"/>
  <c r="AS67" i="2"/>
  <c r="AR67" i="2"/>
  <c r="AQ67" i="2"/>
  <c r="AP67" i="2"/>
  <c r="AO67" i="2"/>
  <c r="AS66" i="2"/>
  <c r="AR66" i="2"/>
  <c r="AQ66" i="2"/>
  <c r="AP66" i="2"/>
  <c r="AO66" i="2"/>
  <c r="AS65" i="2"/>
  <c r="AR65" i="2"/>
  <c r="AQ65" i="2"/>
  <c r="AP65" i="2"/>
  <c r="AO65" i="2"/>
  <c r="AS64" i="2"/>
  <c r="AR64" i="2"/>
  <c r="AQ64" i="2"/>
  <c r="AP64" i="2"/>
  <c r="AO64" i="2"/>
  <c r="AS63" i="2"/>
  <c r="AR63" i="2"/>
  <c r="AQ63" i="2"/>
  <c r="AP63" i="2"/>
  <c r="AO63" i="2"/>
  <c r="AS62" i="2"/>
  <c r="AR62" i="2"/>
  <c r="AQ62" i="2"/>
  <c r="AP62" i="2"/>
  <c r="AO62" i="2"/>
  <c r="AS61" i="2"/>
  <c r="AR61" i="2"/>
  <c r="AQ61" i="2"/>
  <c r="AP61" i="2"/>
  <c r="AO61" i="2"/>
  <c r="AS60" i="2"/>
  <c r="AR60" i="2"/>
  <c r="AQ60" i="2"/>
  <c r="AP60" i="2"/>
  <c r="AO60" i="2"/>
  <c r="AS59" i="2"/>
  <c r="AR59" i="2"/>
  <c r="AQ59" i="2"/>
  <c r="AP59" i="2"/>
  <c r="AO59" i="2"/>
  <c r="AS58" i="2"/>
  <c r="AR58" i="2"/>
  <c r="AQ58" i="2"/>
  <c r="AP58" i="2"/>
  <c r="AO58" i="2"/>
  <c r="AS57" i="2"/>
  <c r="AR57" i="2"/>
  <c r="AQ57" i="2"/>
  <c r="AP57" i="2"/>
  <c r="AO57" i="2"/>
  <c r="AS56" i="2"/>
  <c r="AR56" i="2"/>
  <c r="AQ56" i="2"/>
  <c r="AP56" i="2"/>
  <c r="AO56" i="2"/>
  <c r="AS55" i="2"/>
  <c r="AR55" i="2"/>
  <c r="AQ55" i="2"/>
  <c r="AP55" i="2"/>
  <c r="AO55" i="2"/>
  <c r="AS54" i="2"/>
  <c r="AR54" i="2"/>
  <c r="AQ54" i="2"/>
  <c r="AP54" i="2"/>
  <c r="AO54" i="2"/>
  <c r="AS53" i="2"/>
  <c r="AR53" i="2"/>
  <c r="AQ53" i="2"/>
  <c r="AP53" i="2"/>
  <c r="AO53" i="2"/>
  <c r="AS52" i="2"/>
  <c r="AR52" i="2"/>
  <c r="AQ52" i="2"/>
  <c r="AP52" i="2"/>
  <c r="AO52" i="2"/>
  <c r="AS51" i="2"/>
  <c r="AR51" i="2"/>
  <c r="AQ51" i="2"/>
  <c r="AP51" i="2"/>
  <c r="AO51" i="2"/>
  <c r="AS50" i="2"/>
  <c r="AR50" i="2"/>
  <c r="AQ50" i="2"/>
  <c r="AP50" i="2"/>
  <c r="AO50" i="2"/>
  <c r="AS49" i="2"/>
  <c r="AR49" i="2"/>
  <c r="AQ49" i="2"/>
  <c r="AP49" i="2"/>
  <c r="AO49" i="2"/>
  <c r="AS48" i="2"/>
  <c r="AR48" i="2"/>
  <c r="AQ48" i="2"/>
  <c r="AP48" i="2"/>
  <c r="AO48" i="2"/>
  <c r="AS47" i="2"/>
  <c r="AR47" i="2"/>
  <c r="AQ47" i="2"/>
  <c r="AP47" i="2"/>
  <c r="AO47" i="2"/>
  <c r="AS46" i="2"/>
  <c r="AR46" i="2"/>
  <c r="AQ46" i="2"/>
  <c r="AP46" i="2"/>
  <c r="AO46" i="2"/>
  <c r="AS45" i="2"/>
  <c r="AR45" i="2"/>
  <c r="AQ45" i="2"/>
  <c r="AP45" i="2"/>
  <c r="AO45" i="2"/>
  <c r="AS44" i="2"/>
  <c r="AR44" i="2"/>
  <c r="AQ44" i="2"/>
  <c r="AP44" i="2"/>
  <c r="AO44" i="2"/>
  <c r="AS43" i="2"/>
  <c r="AR43" i="2"/>
  <c r="AQ43" i="2"/>
  <c r="AP43" i="2"/>
  <c r="AO43" i="2"/>
  <c r="AS42" i="2"/>
  <c r="AR42" i="2"/>
  <c r="AQ42" i="2"/>
  <c r="AP42" i="2"/>
  <c r="AO42" i="2"/>
  <c r="AS41" i="2"/>
  <c r="AR41" i="2"/>
  <c r="AQ41" i="2"/>
  <c r="AP41" i="2"/>
  <c r="AO41" i="2"/>
  <c r="AS40" i="2"/>
  <c r="AR40" i="2"/>
  <c r="AQ40" i="2"/>
  <c r="AP40" i="2"/>
  <c r="AO40" i="2"/>
  <c r="AS39" i="2"/>
  <c r="AR39" i="2"/>
  <c r="AQ39" i="2"/>
  <c r="AP39" i="2"/>
  <c r="AO39" i="2"/>
  <c r="AS38" i="2"/>
  <c r="AR38" i="2"/>
  <c r="AQ38" i="2"/>
  <c r="AP38" i="2"/>
  <c r="AO38" i="2"/>
  <c r="AS37" i="2"/>
  <c r="AR37" i="2"/>
  <c r="AQ37" i="2"/>
  <c r="AP37" i="2"/>
  <c r="AO37" i="2"/>
  <c r="AS36" i="2"/>
  <c r="AR36" i="2"/>
  <c r="AQ36" i="2"/>
  <c r="AP36" i="2"/>
  <c r="AO36" i="2"/>
  <c r="AS35" i="2"/>
  <c r="AR35" i="2"/>
  <c r="AQ35" i="2"/>
  <c r="AP35" i="2"/>
  <c r="AO35" i="2"/>
  <c r="AS34" i="2"/>
  <c r="AR34" i="2"/>
  <c r="AQ34" i="2"/>
  <c r="AP34" i="2"/>
  <c r="AO34" i="2"/>
  <c r="AS33" i="2"/>
  <c r="AR33" i="2"/>
  <c r="AQ33" i="2"/>
  <c r="AP33" i="2"/>
  <c r="AO33" i="2"/>
  <c r="AS32" i="2"/>
  <c r="AR32" i="2"/>
  <c r="AQ32" i="2"/>
  <c r="AP32" i="2"/>
  <c r="AO32" i="2"/>
  <c r="AS31" i="2"/>
  <c r="AR31" i="2"/>
  <c r="AQ31" i="2"/>
  <c r="AP31" i="2"/>
  <c r="AO31" i="2"/>
  <c r="AS30" i="2"/>
  <c r="AR30" i="2"/>
  <c r="AQ30" i="2"/>
  <c r="AP30" i="2"/>
  <c r="AO30" i="2"/>
  <c r="AS29" i="2"/>
  <c r="AR29" i="2"/>
  <c r="AQ29" i="2"/>
  <c r="AP29" i="2"/>
  <c r="AO29" i="2"/>
  <c r="AS28" i="2"/>
  <c r="AR28" i="2"/>
  <c r="AQ28" i="2"/>
  <c r="AP28" i="2"/>
  <c r="AO28" i="2"/>
  <c r="AS27" i="2"/>
  <c r="AR27" i="2"/>
  <c r="AQ27" i="2"/>
  <c r="AP27" i="2"/>
  <c r="AO27" i="2"/>
  <c r="AS26" i="2"/>
  <c r="AR26" i="2"/>
  <c r="AQ26" i="2"/>
  <c r="AP26" i="2"/>
  <c r="AO26" i="2"/>
  <c r="AS25" i="2"/>
  <c r="AR25" i="2"/>
  <c r="AQ25" i="2"/>
  <c r="AP25" i="2"/>
  <c r="AO25" i="2"/>
  <c r="AS24" i="2"/>
  <c r="AR24" i="2"/>
  <c r="AQ24" i="2"/>
  <c r="AP24" i="2"/>
  <c r="AO24" i="2"/>
  <c r="AS23" i="2"/>
  <c r="AR23" i="2"/>
  <c r="AQ23" i="2"/>
  <c r="AP23" i="2"/>
  <c r="AO23" i="2"/>
  <c r="AS22" i="2"/>
  <c r="AR22" i="2"/>
  <c r="AQ22" i="2"/>
  <c r="AP22" i="2"/>
  <c r="AO22" i="2"/>
  <c r="AS21" i="2"/>
  <c r="AR21" i="2"/>
  <c r="AQ21" i="2"/>
  <c r="AP21" i="2"/>
  <c r="AO21" i="2"/>
  <c r="AS20" i="2"/>
  <c r="AR20" i="2"/>
  <c r="AQ20" i="2"/>
  <c r="AP20" i="2"/>
  <c r="AO20" i="2"/>
  <c r="AS19" i="2"/>
  <c r="AR19" i="2"/>
  <c r="AQ19" i="2"/>
  <c r="AP19" i="2"/>
  <c r="AO19" i="2"/>
  <c r="AS18" i="2"/>
  <c r="AR18" i="2"/>
  <c r="AQ18" i="2"/>
  <c r="AP18" i="2"/>
  <c r="AO18" i="2"/>
  <c r="Z92" i="2" l="1"/>
  <c r="AA92" i="2"/>
  <c r="AB92" i="2"/>
  <c r="AC92" i="2"/>
  <c r="AD92" i="2"/>
  <c r="Z93" i="2"/>
  <c r="AA93" i="2"/>
  <c r="AB93" i="2"/>
  <c r="AC93" i="2"/>
  <c r="AD93" i="2"/>
  <c r="Z94" i="2"/>
  <c r="AA94" i="2"/>
  <c r="AB94" i="2"/>
  <c r="AC94" i="2"/>
  <c r="AD94" i="2"/>
  <c r="Z95" i="2"/>
  <c r="AA95" i="2"/>
  <c r="AB95" i="2"/>
  <c r="AC95" i="2"/>
  <c r="AD95" i="2"/>
  <c r="Z96" i="2"/>
  <c r="AA96" i="2"/>
  <c r="AB96" i="2"/>
  <c r="AC96" i="2"/>
  <c r="AD96" i="2"/>
  <c r="Z97" i="2"/>
  <c r="AA97" i="2"/>
  <c r="AB97" i="2"/>
  <c r="AC97" i="2"/>
  <c r="AD97" i="2"/>
  <c r="AD407" i="2" l="1"/>
  <c r="AC407" i="2"/>
  <c r="AB407" i="2"/>
  <c r="AA407" i="2"/>
  <c r="Z407" i="2"/>
  <c r="AD406" i="2"/>
  <c r="AC406" i="2"/>
  <c r="AB406" i="2"/>
  <c r="AA406" i="2"/>
  <c r="Z406" i="2"/>
  <c r="AD405" i="2"/>
  <c r="AC405" i="2"/>
  <c r="AB405" i="2"/>
  <c r="AA405" i="2"/>
  <c r="Z405" i="2"/>
  <c r="AD404" i="2"/>
  <c r="AC404" i="2"/>
  <c r="AB404" i="2"/>
  <c r="AA404" i="2"/>
  <c r="Z404" i="2"/>
  <c r="AD403" i="2"/>
  <c r="AC403" i="2"/>
  <c r="AB403" i="2"/>
  <c r="AA403" i="2"/>
  <c r="Z403" i="2"/>
  <c r="AD402" i="2"/>
  <c r="AC402" i="2"/>
  <c r="AB402" i="2"/>
  <c r="AA402" i="2"/>
  <c r="Z402" i="2"/>
  <c r="AD401" i="2"/>
  <c r="AC401" i="2"/>
  <c r="AB401" i="2"/>
  <c r="AA401" i="2"/>
  <c r="Z401" i="2"/>
  <c r="AD400" i="2"/>
  <c r="AC400" i="2"/>
  <c r="AB400" i="2"/>
  <c r="AA400" i="2"/>
  <c r="Z400" i="2"/>
  <c r="AD399" i="2"/>
  <c r="AC399" i="2"/>
  <c r="AB399" i="2"/>
  <c r="AA399" i="2"/>
  <c r="Z399" i="2"/>
  <c r="AD398" i="2"/>
  <c r="AC398" i="2"/>
  <c r="AB398" i="2"/>
  <c r="AA398" i="2"/>
  <c r="Z398" i="2"/>
  <c r="AD397" i="2"/>
  <c r="AC397" i="2"/>
  <c r="AB397" i="2"/>
  <c r="AA397" i="2"/>
  <c r="Z397" i="2"/>
  <c r="AD396" i="2"/>
  <c r="AC396" i="2"/>
  <c r="AB396" i="2"/>
  <c r="AA396" i="2"/>
  <c r="Z396" i="2"/>
  <c r="AD395" i="2"/>
  <c r="AC395" i="2"/>
  <c r="AB395" i="2"/>
  <c r="AA395" i="2"/>
  <c r="Z395" i="2"/>
  <c r="AD394" i="2"/>
  <c r="AC394" i="2"/>
  <c r="AB394" i="2"/>
  <c r="AA394" i="2"/>
  <c r="Z394" i="2"/>
  <c r="AD393" i="2"/>
  <c r="AC393" i="2"/>
  <c r="AB393" i="2"/>
  <c r="AA393" i="2"/>
  <c r="Z393" i="2"/>
  <c r="AD392" i="2"/>
  <c r="AC392" i="2"/>
  <c r="AB392" i="2"/>
  <c r="AA392" i="2"/>
  <c r="Z392" i="2"/>
  <c r="AD391" i="2"/>
  <c r="AC391" i="2"/>
  <c r="AB391" i="2"/>
  <c r="AA391" i="2"/>
  <c r="Z391" i="2"/>
  <c r="AD390" i="2"/>
  <c r="AC390" i="2"/>
  <c r="AB390" i="2"/>
  <c r="AA390" i="2"/>
  <c r="Z390" i="2"/>
  <c r="AD389" i="2"/>
  <c r="AC389" i="2"/>
  <c r="AB389" i="2"/>
  <c r="AA389" i="2"/>
  <c r="Z389" i="2"/>
  <c r="AD388" i="2"/>
  <c r="AC388" i="2"/>
  <c r="AB388" i="2"/>
  <c r="AA388" i="2"/>
  <c r="Z388" i="2"/>
  <c r="AD387" i="2"/>
  <c r="AC387" i="2"/>
  <c r="AB387" i="2"/>
  <c r="AA387" i="2"/>
  <c r="Z387" i="2"/>
  <c r="AD386" i="2"/>
  <c r="AC386" i="2"/>
  <c r="AB386" i="2"/>
  <c r="AA386" i="2"/>
  <c r="Z386" i="2"/>
  <c r="AD385" i="2"/>
  <c r="AC385" i="2"/>
  <c r="AB385" i="2"/>
  <c r="AA385" i="2"/>
  <c r="Z385" i="2"/>
  <c r="AD384" i="2"/>
  <c r="AC384" i="2"/>
  <c r="AB384" i="2"/>
  <c r="AA384" i="2"/>
  <c r="Z384" i="2"/>
  <c r="AD383" i="2"/>
  <c r="AC383" i="2"/>
  <c r="AB383" i="2"/>
  <c r="AA383" i="2"/>
  <c r="Z383" i="2"/>
  <c r="AD382" i="2"/>
  <c r="AC382" i="2"/>
  <c r="AB382" i="2"/>
  <c r="AA382" i="2"/>
  <c r="Z382" i="2"/>
  <c r="AD381" i="2"/>
  <c r="AC381" i="2"/>
  <c r="AB381" i="2"/>
  <c r="AA381" i="2"/>
  <c r="Z381" i="2"/>
  <c r="AD380" i="2"/>
  <c r="AC380" i="2"/>
  <c r="AB380" i="2"/>
  <c r="AA380" i="2"/>
  <c r="Z380" i="2"/>
  <c r="AD379" i="2"/>
  <c r="AC379" i="2"/>
  <c r="AB379" i="2"/>
  <c r="AA379" i="2"/>
  <c r="Z379" i="2"/>
  <c r="AD378" i="2"/>
  <c r="AC378" i="2"/>
  <c r="AB378" i="2"/>
  <c r="AA378" i="2"/>
  <c r="Z378" i="2"/>
  <c r="AD377" i="2"/>
  <c r="AC377" i="2"/>
  <c r="AB377" i="2"/>
  <c r="AA377" i="2"/>
  <c r="Z377" i="2"/>
  <c r="AD376" i="2"/>
  <c r="AC376" i="2"/>
  <c r="AB376" i="2"/>
  <c r="AA376" i="2"/>
  <c r="Z376" i="2"/>
  <c r="AD375" i="2"/>
  <c r="AC375" i="2"/>
  <c r="AB375" i="2"/>
  <c r="AA375" i="2"/>
  <c r="Z375" i="2"/>
  <c r="AD374" i="2"/>
  <c r="AC374" i="2"/>
  <c r="AB374" i="2"/>
  <c r="AA374" i="2"/>
  <c r="Z374" i="2"/>
  <c r="AD373" i="2"/>
  <c r="AC373" i="2"/>
  <c r="AB373" i="2"/>
  <c r="AA373" i="2"/>
  <c r="Z373" i="2"/>
  <c r="AD372" i="2"/>
  <c r="AC372" i="2"/>
  <c r="AB372" i="2"/>
  <c r="AA372" i="2"/>
  <c r="Z372" i="2"/>
  <c r="AD371" i="2"/>
  <c r="AC371" i="2"/>
  <c r="AB371" i="2"/>
  <c r="AA371" i="2"/>
  <c r="Z371" i="2"/>
  <c r="AD370" i="2"/>
  <c r="AC370" i="2"/>
  <c r="AB370" i="2"/>
  <c r="AA370" i="2"/>
  <c r="Z370" i="2"/>
  <c r="AD369" i="2"/>
  <c r="AC369" i="2"/>
  <c r="AB369" i="2"/>
  <c r="AA369" i="2"/>
  <c r="Z369" i="2"/>
  <c r="AD368" i="2"/>
  <c r="AC368" i="2"/>
  <c r="AB368" i="2"/>
  <c r="AA368" i="2"/>
  <c r="Z368" i="2"/>
  <c r="AD367" i="2"/>
  <c r="AC367" i="2"/>
  <c r="AB367" i="2"/>
  <c r="AA367" i="2"/>
  <c r="Z367" i="2"/>
  <c r="AD366" i="2"/>
  <c r="AC366" i="2"/>
  <c r="AB366" i="2"/>
  <c r="AA366" i="2"/>
  <c r="Z366" i="2"/>
  <c r="AD365" i="2"/>
  <c r="AC365" i="2"/>
  <c r="AB365" i="2"/>
  <c r="AA365" i="2"/>
  <c r="Z365" i="2"/>
  <c r="AD364" i="2"/>
  <c r="AC364" i="2"/>
  <c r="AB364" i="2"/>
  <c r="AA364" i="2"/>
  <c r="Z364" i="2"/>
  <c r="AD363" i="2"/>
  <c r="AC363" i="2"/>
  <c r="AB363" i="2"/>
  <c r="AA363" i="2"/>
  <c r="Z363" i="2"/>
  <c r="AD362" i="2"/>
  <c r="AC362" i="2"/>
  <c r="AB362" i="2"/>
  <c r="AA362" i="2"/>
  <c r="Z362" i="2"/>
  <c r="AD361" i="2"/>
  <c r="AC361" i="2"/>
  <c r="AB361" i="2"/>
  <c r="AA361" i="2"/>
  <c r="Z361" i="2"/>
  <c r="AD360" i="2"/>
  <c r="AC360" i="2"/>
  <c r="AB360" i="2"/>
  <c r="AA360" i="2"/>
  <c r="Z360" i="2"/>
  <c r="AD359" i="2"/>
  <c r="AC359" i="2"/>
  <c r="AB359" i="2"/>
  <c r="AA359" i="2"/>
  <c r="Z359" i="2"/>
  <c r="AD358" i="2"/>
  <c r="AC358" i="2"/>
  <c r="AB358" i="2"/>
  <c r="AA358" i="2"/>
  <c r="Z358" i="2"/>
  <c r="AD357" i="2"/>
  <c r="AC357" i="2"/>
  <c r="AB357" i="2"/>
  <c r="AA357" i="2"/>
  <c r="Z357" i="2"/>
  <c r="AD356" i="2"/>
  <c r="AC356" i="2"/>
  <c r="AB356" i="2"/>
  <c r="AA356" i="2"/>
  <c r="Z356" i="2"/>
  <c r="AD355" i="2"/>
  <c r="AC355" i="2"/>
  <c r="AB355" i="2"/>
  <c r="AA355" i="2"/>
  <c r="Z355" i="2"/>
  <c r="AD354" i="2"/>
  <c r="AC354" i="2"/>
  <c r="AB354" i="2"/>
  <c r="AA354" i="2"/>
  <c r="Z354" i="2"/>
  <c r="AD353" i="2"/>
  <c r="AC353" i="2"/>
  <c r="AB353" i="2"/>
  <c r="AA353" i="2"/>
  <c r="Z353" i="2"/>
  <c r="AD352" i="2"/>
  <c r="AC352" i="2"/>
  <c r="AB352" i="2"/>
  <c r="AA352" i="2"/>
  <c r="Z352" i="2"/>
  <c r="AD351" i="2"/>
  <c r="AC351" i="2"/>
  <c r="AB351" i="2"/>
  <c r="AA351" i="2"/>
  <c r="Z351" i="2"/>
  <c r="AD350" i="2"/>
  <c r="AC350" i="2"/>
  <c r="AB350" i="2"/>
  <c r="AA350" i="2"/>
  <c r="Z350" i="2"/>
  <c r="AD349" i="2"/>
  <c r="AC349" i="2"/>
  <c r="AB349" i="2"/>
  <c r="AA349" i="2"/>
  <c r="Z349" i="2"/>
  <c r="AD348" i="2"/>
  <c r="AC348" i="2"/>
  <c r="AB348" i="2"/>
  <c r="AA348" i="2"/>
  <c r="Z348" i="2"/>
  <c r="AD347" i="2"/>
  <c r="AC347" i="2"/>
  <c r="AB347" i="2"/>
  <c r="AA347" i="2"/>
  <c r="Z347" i="2"/>
  <c r="AD346" i="2"/>
  <c r="AC346" i="2"/>
  <c r="AB346" i="2"/>
  <c r="AA346" i="2"/>
  <c r="Z346" i="2"/>
  <c r="AD345" i="2"/>
  <c r="AC345" i="2"/>
  <c r="AB345" i="2"/>
  <c r="AA345" i="2"/>
  <c r="Z345" i="2"/>
  <c r="AD344" i="2"/>
  <c r="AC344" i="2"/>
  <c r="AB344" i="2"/>
  <c r="AA344" i="2"/>
  <c r="Z344" i="2"/>
  <c r="AD343" i="2"/>
  <c r="AC343" i="2"/>
  <c r="AB343" i="2"/>
  <c r="AA343" i="2"/>
  <c r="Z343" i="2"/>
  <c r="AD342" i="2"/>
  <c r="AC342" i="2"/>
  <c r="AB342" i="2"/>
  <c r="AA342" i="2"/>
  <c r="Z342" i="2"/>
  <c r="AD341" i="2"/>
  <c r="AC341" i="2"/>
  <c r="AB341" i="2"/>
  <c r="AA341" i="2"/>
  <c r="Z341" i="2"/>
  <c r="AD340" i="2"/>
  <c r="AC340" i="2"/>
  <c r="AB340" i="2"/>
  <c r="AA340" i="2"/>
  <c r="Z340" i="2"/>
  <c r="AD339" i="2"/>
  <c r="AC339" i="2"/>
  <c r="AB339" i="2"/>
  <c r="AA339" i="2"/>
  <c r="Z339" i="2"/>
  <c r="AD338" i="2"/>
  <c r="AC338" i="2"/>
  <c r="AB338" i="2"/>
  <c r="AA338" i="2"/>
  <c r="Z338" i="2"/>
  <c r="AD337" i="2"/>
  <c r="AC337" i="2"/>
  <c r="AB337" i="2"/>
  <c r="AA337" i="2"/>
  <c r="Z337" i="2"/>
  <c r="AD336" i="2"/>
  <c r="AC336" i="2"/>
  <c r="AB336" i="2"/>
  <c r="AA336" i="2"/>
  <c r="Z336" i="2"/>
  <c r="AD335" i="2"/>
  <c r="AC335" i="2"/>
  <c r="AB335" i="2"/>
  <c r="AA335" i="2"/>
  <c r="Z335" i="2"/>
  <c r="AD334" i="2"/>
  <c r="AC334" i="2"/>
  <c r="AB334" i="2"/>
  <c r="AA334" i="2"/>
  <c r="Z334" i="2"/>
  <c r="AD333" i="2"/>
  <c r="AC333" i="2"/>
  <c r="AB333" i="2"/>
  <c r="AA333" i="2"/>
  <c r="Z333" i="2"/>
  <c r="AD332" i="2"/>
  <c r="AC332" i="2"/>
  <c r="AB332" i="2"/>
  <c r="AA332" i="2"/>
  <c r="Z332" i="2"/>
  <c r="AD331" i="2"/>
  <c r="AC331" i="2"/>
  <c r="AB331" i="2"/>
  <c r="AA331" i="2"/>
  <c r="Z331" i="2"/>
  <c r="AD330" i="2"/>
  <c r="AC330" i="2"/>
  <c r="AB330" i="2"/>
  <c r="AA330" i="2"/>
  <c r="Z330" i="2"/>
  <c r="AD329" i="2"/>
  <c r="AC329" i="2"/>
  <c r="AB329" i="2"/>
  <c r="AA329" i="2"/>
  <c r="Z329" i="2"/>
  <c r="AD328" i="2"/>
  <c r="AC328" i="2"/>
  <c r="AB328" i="2"/>
  <c r="AA328" i="2"/>
  <c r="Z328" i="2"/>
  <c r="AD327" i="2"/>
  <c r="AC327" i="2"/>
  <c r="AB327" i="2"/>
  <c r="AA327" i="2"/>
  <c r="Z327" i="2"/>
  <c r="AD326" i="2"/>
  <c r="AC326" i="2"/>
  <c r="AB326" i="2"/>
  <c r="AA326" i="2"/>
  <c r="Z326" i="2"/>
  <c r="AD325" i="2"/>
  <c r="AC325" i="2"/>
  <c r="AB325" i="2"/>
  <c r="AA325" i="2"/>
  <c r="Z325" i="2"/>
  <c r="AD324" i="2"/>
  <c r="AC324" i="2"/>
  <c r="AB324" i="2"/>
  <c r="AA324" i="2"/>
  <c r="Z324" i="2"/>
  <c r="AD323" i="2"/>
  <c r="AC323" i="2"/>
  <c r="AB323" i="2"/>
  <c r="AA323" i="2"/>
  <c r="Z323" i="2"/>
  <c r="AD322" i="2"/>
  <c r="AC322" i="2"/>
  <c r="AB322" i="2"/>
  <c r="AA322" i="2"/>
  <c r="Z322" i="2"/>
  <c r="AD321" i="2"/>
  <c r="AC321" i="2"/>
  <c r="AB321" i="2"/>
  <c r="AA321" i="2"/>
  <c r="Z321" i="2"/>
  <c r="AD320" i="2"/>
  <c r="AC320" i="2"/>
  <c r="AB320" i="2"/>
  <c r="AA320" i="2"/>
  <c r="Z320" i="2"/>
  <c r="AD319" i="2"/>
  <c r="AC319" i="2"/>
  <c r="AB319" i="2"/>
  <c r="AA319" i="2"/>
  <c r="Z319" i="2"/>
  <c r="AD318" i="2"/>
  <c r="AC318" i="2"/>
  <c r="AB318" i="2"/>
  <c r="AA318" i="2"/>
  <c r="Z318" i="2"/>
  <c r="AD317" i="2"/>
  <c r="AC317" i="2"/>
  <c r="AB317" i="2"/>
  <c r="AA317" i="2"/>
  <c r="Z317" i="2"/>
  <c r="AD316" i="2"/>
  <c r="AC316" i="2"/>
  <c r="AB316" i="2"/>
  <c r="AA316" i="2"/>
  <c r="Z316" i="2"/>
  <c r="AD315" i="2"/>
  <c r="AC315" i="2"/>
  <c r="AB315" i="2"/>
  <c r="AA315" i="2"/>
  <c r="Z315" i="2"/>
  <c r="AD314" i="2"/>
  <c r="AC314" i="2"/>
  <c r="AB314" i="2"/>
  <c r="AA314" i="2"/>
  <c r="Z314" i="2"/>
  <c r="AD313" i="2"/>
  <c r="AC313" i="2"/>
  <c r="AB313" i="2"/>
  <c r="AA313" i="2"/>
  <c r="Z313" i="2"/>
  <c r="AD312" i="2"/>
  <c r="AC312" i="2"/>
  <c r="AB312" i="2"/>
  <c r="AA312" i="2"/>
  <c r="Z312" i="2"/>
  <c r="AD311" i="2"/>
  <c r="AC311" i="2"/>
  <c r="AB311" i="2"/>
  <c r="AA311" i="2"/>
  <c r="Z311" i="2"/>
  <c r="AD310" i="2"/>
  <c r="AC310" i="2"/>
  <c r="AB310" i="2"/>
  <c r="AA310" i="2"/>
  <c r="Z310" i="2"/>
  <c r="AD309" i="2"/>
  <c r="AC309" i="2"/>
  <c r="AB309" i="2"/>
  <c r="AA309" i="2"/>
  <c r="Z309" i="2"/>
  <c r="AD308" i="2"/>
  <c r="AC308" i="2"/>
  <c r="AB308" i="2"/>
  <c r="AA308" i="2"/>
  <c r="Z308" i="2"/>
  <c r="AD307" i="2"/>
  <c r="AC307" i="2"/>
  <c r="AB307" i="2"/>
  <c r="AA307" i="2"/>
  <c r="Z307" i="2"/>
  <c r="AD306" i="2"/>
  <c r="AC306" i="2"/>
  <c r="AB306" i="2"/>
  <c r="AA306" i="2"/>
  <c r="Z306" i="2"/>
  <c r="AD305" i="2"/>
  <c r="AC305" i="2"/>
  <c r="AB305" i="2"/>
  <c r="AA305" i="2"/>
  <c r="Z305" i="2"/>
  <c r="AD304" i="2"/>
  <c r="AC304" i="2"/>
  <c r="AB304" i="2"/>
  <c r="AA304" i="2"/>
  <c r="Z304" i="2"/>
  <c r="AD303" i="2"/>
  <c r="AC303" i="2"/>
  <c r="AB303" i="2"/>
  <c r="AA303" i="2"/>
  <c r="Z303" i="2"/>
  <c r="AD302" i="2"/>
  <c r="AC302" i="2"/>
  <c r="AB302" i="2"/>
  <c r="AA302" i="2"/>
  <c r="Z302" i="2"/>
  <c r="AD301" i="2"/>
  <c r="AC301" i="2"/>
  <c r="AB301" i="2"/>
  <c r="AA301" i="2"/>
  <c r="Z301" i="2"/>
  <c r="AD300" i="2"/>
  <c r="AC300" i="2"/>
  <c r="AB300" i="2"/>
  <c r="AA300" i="2"/>
  <c r="Z300" i="2"/>
  <c r="AD299" i="2"/>
  <c r="AC299" i="2"/>
  <c r="AB299" i="2"/>
  <c r="AA299" i="2"/>
  <c r="Z299" i="2"/>
  <c r="AD298" i="2"/>
  <c r="AC298" i="2"/>
  <c r="AB298" i="2"/>
  <c r="AA298" i="2"/>
  <c r="Z298" i="2"/>
  <c r="AD297" i="2"/>
  <c r="AC297" i="2"/>
  <c r="AB297" i="2"/>
  <c r="AA297" i="2"/>
  <c r="Z297" i="2"/>
  <c r="AD296" i="2"/>
  <c r="AC296" i="2"/>
  <c r="AB296" i="2"/>
  <c r="AA296" i="2"/>
  <c r="Z296" i="2"/>
  <c r="AD295" i="2"/>
  <c r="AC295" i="2"/>
  <c r="AB295" i="2"/>
  <c r="AA295" i="2"/>
  <c r="Z295" i="2"/>
  <c r="AD294" i="2"/>
  <c r="AC294" i="2"/>
  <c r="AB294" i="2"/>
  <c r="AA294" i="2"/>
  <c r="Z294" i="2"/>
  <c r="AD293" i="2"/>
  <c r="AC293" i="2"/>
  <c r="AB293" i="2"/>
  <c r="AA293" i="2"/>
  <c r="Z293" i="2"/>
  <c r="AD292" i="2"/>
  <c r="AC292" i="2"/>
  <c r="AB292" i="2"/>
  <c r="AA292" i="2"/>
  <c r="Z292" i="2"/>
  <c r="AD291" i="2"/>
  <c r="AC291" i="2"/>
  <c r="AB291" i="2"/>
  <c r="AA291" i="2"/>
  <c r="Z291" i="2"/>
  <c r="AD290" i="2"/>
  <c r="AC290" i="2"/>
  <c r="AB290" i="2"/>
  <c r="AA290" i="2"/>
  <c r="Z290" i="2"/>
  <c r="AD289" i="2"/>
  <c r="AC289" i="2"/>
  <c r="AB289" i="2"/>
  <c r="AA289" i="2"/>
  <c r="Z289" i="2"/>
  <c r="AD288" i="2"/>
  <c r="AC288" i="2"/>
  <c r="AB288" i="2"/>
  <c r="AA288" i="2"/>
  <c r="Z288" i="2"/>
  <c r="AD287" i="2"/>
  <c r="AC287" i="2"/>
  <c r="AB287" i="2"/>
  <c r="AA287" i="2"/>
  <c r="Z287" i="2"/>
  <c r="AD286" i="2"/>
  <c r="AC286" i="2"/>
  <c r="AB286" i="2"/>
  <c r="AA286" i="2"/>
  <c r="Z286" i="2"/>
  <c r="AD285" i="2"/>
  <c r="AC285" i="2"/>
  <c r="AB285" i="2"/>
  <c r="AA285" i="2"/>
  <c r="Z285" i="2"/>
  <c r="AD284" i="2"/>
  <c r="AC284" i="2"/>
  <c r="AB284" i="2"/>
  <c r="AA284" i="2"/>
  <c r="Z284" i="2"/>
  <c r="AD283" i="2"/>
  <c r="AC283" i="2"/>
  <c r="AB283" i="2"/>
  <c r="AA283" i="2"/>
  <c r="Z283" i="2"/>
  <c r="AD282" i="2"/>
  <c r="AC282" i="2"/>
  <c r="AB282" i="2"/>
  <c r="AA282" i="2"/>
  <c r="Z282" i="2"/>
  <c r="AD281" i="2"/>
  <c r="AC281" i="2"/>
  <c r="AB281" i="2"/>
  <c r="AA281" i="2"/>
  <c r="Z281" i="2"/>
  <c r="AD280" i="2"/>
  <c r="AC280" i="2"/>
  <c r="AB280" i="2"/>
  <c r="AA280" i="2"/>
  <c r="Z280" i="2"/>
  <c r="AD279" i="2"/>
  <c r="AC279" i="2"/>
  <c r="AB279" i="2"/>
  <c r="AA279" i="2"/>
  <c r="Z279" i="2"/>
  <c r="AD278" i="2"/>
  <c r="AC278" i="2"/>
  <c r="AB278" i="2"/>
  <c r="AA278" i="2"/>
  <c r="Z278" i="2"/>
  <c r="AD277" i="2"/>
  <c r="AC277" i="2"/>
  <c r="AB277" i="2"/>
  <c r="AA277" i="2"/>
  <c r="Z277" i="2"/>
  <c r="AD276" i="2"/>
  <c r="AC276" i="2"/>
  <c r="AB276" i="2"/>
  <c r="AA276" i="2"/>
  <c r="Z276" i="2"/>
  <c r="AD275" i="2"/>
  <c r="AC275" i="2"/>
  <c r="AB275" i="2"/>
  <c r="AA275" i="2"/>
  <c r="Z275" i="2"/>
  <c r="AD274" i="2"/>
  <c r="AC274" i="2"/>
  <c r="AB274" i="2"/>
  <c r="AA274" i="2"/>
  <c r="Z274" i="2"/>
  <c r="AD273" i="2"/>
  <c r="AC273" i="2"/>
  <c r="AB273" i="2"/>
  <c r="AA273" i="2"/>
  <c r="Z273" i="2"/>
  <c r="AD272" i="2"/>
  <c r="AC272" i="2"/>
  <c r="AB272" i="2"/>
  <c r="AA272" i="2"/>
  <c r="Z272" i="2"/>
  <c r="AD271" i="2"/>
  <c r="AC271" i="2"/>
  <c r="AB271" i="2"/>
  <c r="AA271" i="2"/>
  <c r="Z271" i="2"/>
  <c r="AD270" i="2"/>
  <c r="AC270" i="2"/>
  <c r="AB270" i="2"/>
  <c r="AA270" i="2"/>
  <c r="Z270" i="2"/>
  <c r="AD269" i="2"/>
  <c r="AC269" i="2"/>
  <c r="AB269" i="2"/>
  <c r="AA269" i="2"/>
  <c r="Z269" i="2"/>
  <c r="AD268" i="2"/>
  <c r="AC268" i="2"/>
  <c r="AB268" i="2"/>
  <c r="AA268" i="2"/>
  <c r="Z268" i="2"/>
  <c r="AD267" i="2"/>
  <c r="AC267" i="2"/>
  <c r="AB267" i="2"/>
  <c r="AA267" i="2"/>
  <c r="Z267" i="2"/>
  <c r="AD266" i="2"/>
  <c r="AC266" i="2"/>
  <c r="AB266" i="2"/>
  <c r="AA266" i="2"/>
  <c r="Z266" i="2"/>
  <c r="AD265" i="2"/>
  <c r="AC265" i="2"/>
  <c r="AB265" i="2"/>
  <c r="AA265" i="2"/>
  <c r="Z265" i="2"/>
  <c r="AD264" i="2"/>
  <c r="AC264" i="2"/>
  <c r="AB264" i="2"/>
  <c r="AA264" i="2"/>
  <c r="Z264" i="2"/>
  <c r="AD263" i="2"/>
  <c r="AC263" i="2"/>
  <c r="AB263" i="2"/>
  <c r="AA263" i="2"/>
  <c r="Z263" i="2"/>
  <c r="AD262" i="2"/>
  <c r="AC262" i="2"/>
  <c r="AB262" i="2"/>
  <c r="AA262" i="2"/>
  <c r="Z262" i="2"/>
  <c r="AD261" i="2"/>
  <c r="AC261" i="2"/>
  <c r="AB261" i="2"/>
  <c r="AA261" i="2"/>
  <c r="Z261" i="2"/>
  <c r="AD260" i="2"/>
  <c r="AC260" i="2"/>
  <c r="AB260" i="2"/>
  <c r="AA260" i="2"/>
  <c r="Z260" i="2"/>
  <c r="AD259" i="2"/>
  <c r="AC259" i="2"/>
  <c r="AB259" i="2"/>
  <c r="AA259" i="2"/>
  <c r="Z259" i="2"/>
  <c r="AD258" i="2"/>
  <c r="AC258" i="2"/>
  <c r="AB258" i="2"/>
  <c r="AA258" i="2"/>
  <c r="Z258" i="2"/>
  <c r="AD257" i="2"/>
  <c r="AC257" i="2"/>
  <c r="AB257" i="2"/>
  <c r="AA257" i="2"/>
  <c r="Z257" i="2"/>
  <c r="AD256" i="2"/>
  <c r="AC256" i="2"/>
  <c r="AB256" i="2"/>
  <c r="AA256" i="2"/>
  <c r="Z256" i="2"/>
  <c r="AD255" i="2"/>
  <c r="AC255" i="2"/>
  <c r="AB255" i="2"/>
  <c r="AA255" i="2"/>
  <c r="Z255" i="2"/>
  <c r="AD254" i="2"/>
  <c r="AC254" i="2"/>
  <c r="AB254" i="2"/>
  <c r="AA254" i="2"/>
  <c r="Z254" i="2"/>
  <c r="AD253" i="2"/>
  <c r="AC253" i="2"/>
  <c r="AB253" i="2"/>
  <c r="AA253" i="2"/>
  <c r="Z253" i="2"/>
  <c r="AD252" i="2"/>
  <c r="AC252" i="2"/>
  <c r="AB252" i="2"/>
  <c r="AA252" i="2"/>
  <c r="Z252" i="2"/>
  <c r="AD251" i="2"/>
  <c r="AC251" i="2"/>
  <c r="AB251" i="2"/>
  <c r="AA251" i="2"/>
  <c r="Z251" i="2"/>
  <c r="AD250" i="2"/>
  <c r="AC250" i="2"/>
  <c r="AB250" i="2"/>
  <c r="AA250" i="2"/>
  <c r="Z250" i="2"/>
  <c r="AD249" i="2"/>
  <c r="AC249" i="2"/>
  <c r="AB249" i="2"/>
  <c r="AA249" i="2"/>
  <c r="Z249" i="2"/>
  <c r="AD248" i="2"/>
  <c r="AC248" i="2"/>
  <c r="AB248" i="2"/>
  <c r="AA248" i="2"/>
  <c r="Z248" i="2"/>
  <c r="AD247" i="2"/>
  <c r="AC247" i="2"/>
  <c r="AB247" i="2"/>
  <c r="AA247" i="2"/>
  <c r="Z247" i="2"/>
  <c r="AD246" i="2"/>
  <c r="AC246" i="2"/>
  <c r="AB246" i="2"/>
  <c r="AA246" i="2"/>
  <c r="Z246" i="2"/>
  <c r="AD245" i="2"/>
  <c r="AC245" i="2"/>
  <c r="AB245" i="2"/>
  <c r="AA245" i="2"/>
  <c r="Z245" i="2"/>
  <c r="AD244" i="2"/>
  <c r="AC244" i="2"/>
  <c r="AB244" i="2"/>
  <c r="AA244" i="2"/>
  <c r="Z244" i="2"/>
  <c r="AD243" i="2"/>
  <c r="AC243" i="2"/>
  <c r="AB243" i="2"/>
  <c r="AA243" i="2"/>
  <c r="Z243" i="2"/>
  <c r="AD242" i="2"/>
  <c r="AC242" i="2"/>
  <c r="AB242" i="2"/>
  <c r="AA242" i="2"/>
  <c r="Z242" i="2"/>
  <c r="AD241" i="2"/>
  <c r="AC241" i="2"/>
  <c r="AB241" i="2"/>
  <c r="AA241" i="2"/>
  <c r="Z241" i="2"/>
  <c r="AD240" i="2"/>
  <c r="AC240" i="2"/>
  <c r="AB240" i="2"/>
  <c r="AA240" i="2"/>
  <c r="Z240" i="2"/>
  <c r="AD239" i="2"/>
  <c r="AC239" i="2"/>
  <c r="AB239" i="2"/>
  <c r="AA239" i="2"/>
  <c r="Z239" i="2"/>
  <c r="AD238" i="2"/>
  <c r="AC238" i="2"/>
  <c r="AB238" i="2"/>
  <c r="AA238" i="2"/>
  <c r="Z238" i="2"/>
  <c r="AD237" i="2"/>
  <c r="AC237" i="2"/>
  <c r="AB237" i="2"/>
  <c r="AA237" i="2"/>
  <c r="Z237" i="2"/>
  <c r="AD236" i="2"/>
  <c r="AC236" i="2"/>
  <c r="AB236" i="2"/>
  <c r="AA236" i="2"/>
  <c r="Z236" i="2"/>
  <c r="AD235" i="2"/>
  <c r="AC235" i="2"/>
  <c r="AB235" i="2"/>
  <c r="AA235" i="2"/>
  <c r="Z235" i="2"/>
  <c r="AD234" i="2"/>
  <c r="AC234" i="2"/>
  <c r="AB234" i="2"/>
  <c r="AA234" i="2"/>
  <c r="Z234" i="2"/>
  <c r="AD233" i="2"/>
  <c r="AC233" i="2"/>
  <c r="AB233" i="2"/>
  <c r="AA233" i="2"/>
  <c r="Z233" i="2"/>
  <c r="AD232" i="2"/>
  <c r="AC232" i="2"/>
  <c r="AB232" i="2"/>
  <c r="AA232" i="2"/>
  <c r="Z232" i="2"/>
  <c r="AD231" i="2"/>
  <c r="AC231" i="2"/>
  <c r="AB231" i="2"/>
  <c r="AA231" i="2"/>
  <c r="Z231" i="2"/>
  <c r="AD230" i="2"/>
  <c r="AC230" i="2"/>
  <c r="AB230" i="2"/>
  <c r="AA230" i="2"/>
  <c r="Z230" i="2"/>
  <c r="AD229" i="2"/>
  <c r="AC229" i="2"/>
  <c r="AB229" i="2"/>
  <c r="AA229" i="2"/>
  <c r="Z229" i="2"/>
  <c r="AD228" i="2"/>
  <c r="AC228" i="2"/>
  <c r="AB228" i="2"/>
  <c r="AA228" i="2"/>
  <c r="Z228" i="2"/>
  <c r="AD227" i="2"/>
  <c r="AC227" i="2"/>
  <c r="AB227" i="2"/>
  <c r="AA227" i="2"/>
  <c r="Z227" i="2"/>
  <c r="AD226" i="2"/>
  <c r="AC226" i="2"/>
  <c r="AB226" i="2"/>
  <c r="AA226" i="2"/>
  <c r="Z226" i="2"/>
  <c r="AD225" i="2"/>
  <c r="AC225" i="2"/>
  <c r="AB225" i="2"/>
  <c r="AA225" i="2"/>
  <c r="Z225" i="2"/>
  <c r="AD224" i="2"/>
  <c r="AC224" i="2"/>
  <c r="AB224" i="2"/>
  <c r="AA224" i="2"/>
  <c r="Z224" i="2"/>
  <c r="AD223" i="2"/>
  <c r="AC223" i="2"/>
  <c r="AB223" i="2"/>
  <c r="AA223" i="2"/>
  <c r="Z223" i="2"/>
  <c r="AD222" i="2"/>
  <c r="AC222" i="2"/>
  <c r="AB222" i="2"/>
  <c r="AA222" i="2"/>
  <c r="Z222" i="2"/>
  <c r="AD221" i="2"/>
  <c r="AC221" i="2"/>
  <c r="AB221" i="2"/>
  <c r="AA221" i="2"/>
  <c r="Z221" i="2"/>
  <c r="AD220" i="2"/>
  <c r="AC220" i="2"/>
  <c r="AB220" i="2"/>
  <c r="AA220" i="2"/>
  <c r="Z220" i="2"/>
  <c r="AD219" i="2"/>
  <c r="AC219" i="2"/>
  <c r="AB219" i="2"/>
  <c r="AA219" i="2"/>
  <c r="Z219" i="2"/>
  <c r="AD218" i="2"/>
  <c r="AC218" i="2"/>
  <c r="AB218" i="2"/>
  <c r="AA218" i="2"/>
  <c r="Z218" i="2"/>
  <c r="AD217" i="2"/>
  <c r="AC217" i="2"/>
  <c r="AB217" i="2"/>
  <c r="AA217" i="2"/>
  <c r="Z217" i="2"/>
  <c r="AD216" i="2"/>
  <c r="AC216" i="2"/>
  <c r="AB216" i="2"/>
  <c r="AA216" i="2"/>
  <c r="Z216" i="2"/>
  <c r="AD215" i="2"/>
  <c r="AC215" i="2"/>
  <c r="AB215" i="2"/>
  <c r="AA215" i="2"/>
  <c r="Z215" i="2"/>
  <c r="AD214" i="2"/>
  <c r="AC214" i="2"/>
  <c r="AB214" i="2"/>
  <c r="AA214" i="2"/>
  <c r="Z214" i="2"/>
  <c r="AD213" i="2"/>
  <c r="AC213" i="2"/>
  <c r="AB213" i="2"/>
  <c r="AA213" i="2"/>
  <c r="Z213" i="2"/>
  <c r="AD212" i="2"/>
  <c r="AC212" i="2"/>
  <c r="AB212" i="2"/>
  <c r="AA212" i="2"/>
  <c r="Z212" i="2"/>
  <c r="AD211" i="2"/>
  <c r="AC211" i="2"/>
  <c r="AB211" i="2"/>
  <c r="AA211" i="2"/>
  <c r="Z211" i="2"/>
  <c r="AD210" i="2"/>
  <c r="AC210" i="2"/>
  <c r="AB210" i="2"/>
  <c r="AA210" i="2"/>
  <c r="Z210" i="2"/>
  <c r="AD209" i="2"/>
  <c r="AC209" i="2"/>
  <c r="AB209" i="2"/>
  <c r="AA209" i="2"/>
  <c r="Z209" i="2"/>
  <c r="AD208" i="2"/>
  <c r="AC208" i="2"/>
  <c r="AB208" i="2"/>
  <c r="AA208" i="2"/>
  <c r="Z208" i="2"/>
  <c r="AD207" i="2"/>
  <c r="AC207" i="2"/>
  <c r="AB207" i="2"/>
  <c r="AA207" i="2"/>
  <c r="Z207" i="2"/>
  <c r="AD206" i="2"/>
  <c r="AC206" i="2"/>
  <c r="AB206" i="2"/>
  <c r="AA206" i="2"/>
  <c r="Z206" i="2"/>
  <c r="AD205" i="2"/>
  <c r="AC205" i="2"/>
  <c r="AB205" i="2"/>
  <c r="AA205" i="2"/>
  <c r="Z205" i="2"/>
  <c r="AD204" i="2"/>
  <c r="AC204" i="2"/>
  <c r="AB204" i="2"/>
  <c r="AA204" i="2"/>
  <c r="Z204" i="2"/>
  <c r="AD203" i="2"/>
  <c r="AC203" i="2"/>
  <c r="AB203" i="2"/>
  <c r="AA203" i="2"/>
  <c r="Z203" i="2"/>
  <c r="AD202" i="2"/>
  <c r="AC202" i="2"/>
  <c r="AB202" i="2"/>
  <c r="AA202" i="2"/>
  <c r="Z202" i="2"/>
  <c r="AD201" i="2"/>
  <c r="AC201" i="2"/>
  <c r="AB201" i="2"/>
  <c r="AA201" i="2"/>
  <c r="Z201" i="2"/>
  <c r="AD200" i="2"/>
  <c r="AC200" i="2"/>
  <c r="AB200" i="2"/>
  <c r="AA200" i="2"/>
  <c r="Z200" i="2"/>
  <c r="AD199" i="2"/>
  <c r="AC199" i="2"/>
  <c r="AB199" i="2"/>
  <c r="AA199" i="2"/>
  <c r="Z199" i="2"/>
  <c r="AD198" i="2"/>
  <c r="AC198" i="2"/>
  <c r="AB198" i="2"/>
  <c r="AA198" i="2"/>
  <c r="Z198" i="2"/>
  <c r="AD197" i="2"/>
  <c r="AC197" i="2"/>
  <c r="AB197" i="2"/>
  <c r="AA197" i="2"/>
  <c r="Z197" i="2"/>
  <c r="AD196" i="2"/>
  <c r="AC196" i="2"/>
  <c r="AB196" i="2"/>
  <c r="AA196" i="2"/>
  <c r="Z196" i="2"/>
  <c r="AD195" i="2"/>
  <c r="AC195" i="2"/>
  <c r="AB195" i="2"/>
  <c r="AA195" i="2"/>
  <c r="Z195" i="2"/>
  <c r="AD194" i="2"/>
  <c r="AC194" i="2"/>
  <c r="AB194" i="2"/>
  <c r="AA194" i="2"/>
  <c r="Z194" i="2"/>
  <c r="AD193" i="2"/>
  <c r="AC193" i="2"/>
  <c r="AB193" i="2"/>
  <c r="AA193" i="2"/>
  <c r="Z193" i="2"/>
  <c r="AD192" i="2"/>
  <c r="AC192" i="2"/>
  <c r="AB192" i="2"/>
  <c r="AA192" i="2"/>
  <c r="Z192" i="2"/>
  <c r="AD191" i="2"/>
  <c r="AC191" i="2"/>
  <c r="AB191" i="2"/>
  <c r="AA191" i="2"/>
  <c r="Z191" i="2"/>
  <c r="AD190" i="2"/>
  <c r="AC190" i="2"/>
  <c r="AB190" i="2"/>
  <c r="AA190" i="2"/>
  <c r="Z190" i="2"/>
  <c r="AD189" i="2"/>
  <c r="AC189" i="2"/>
  <c r="AB189" i="2"/>
  <c r="AA189" i="2"/>
  <c r="Z189" i="2"/>
  <c r="AD188" i="2"/>
  <c r="AC188" i="2"/>
  <c r="AB188" i="2"/>
  <c r="AA188" i="2"/>
  <c r="Z188" i="2"/>
  <c r="AD187" i="2"/>
  <c r="AC187" i="2"/>
  <c r="AB187" i="2"/>
  <c r="AA187" i="2"/>
  <c r="Z187" i="2"/>
  <c r="AD186" i="2"/>
  <c r="AC186" i="2"/>
  <c r="AB186" i="2"/>
  <c r="AA186" i="2"/>
  <c r="Z186" i="2"/>
  <c r="AD185" i="2"/>
  <c r="AC185" i="2"/>
  <c r="AB185" i="2"/>
  <c r="AA185" i="2"/>
  <c r="Z185" i="2"/>
  <c r="AD184" i="2"/>
  <c r="AC184" i="2"/>
  <c r="AB184" i="2"/>
  <c r="AA184" i="2"/>
  <c r="Z184" i="2"/>
  <c r="AD183" i="2"/>
  <c r="AC183" i="2"/>
  <c r="AB183" i="2"/>
  <c r="AA183" i="2"/>
  <c r="Z183" i="2"/>
  <c r="AD182" i="2"/>
  <c r="AC182" i="2"/>
  <c r="AB182" i="2"/>
  <c r="AA182" i="2"/>
  <c r="Z182" i="2"/>
  <c r="AD181" i="2"/>
  <c r="AC181" i="2"/>
  <c r="AB181" i="2"/>
  <c r="AA181" i="2"/>
  <c r="Z181" i="2"/>
  <c r="AD180" i="2"/>
  <c r="AC180" i="2"/>
  <c r="AB180" i="2"/>
  <c r="AA180" i="2"/>
  <c r="Z180" i="2"/>
  <c r="AD179" i="2"/>
  <c r="AC179" i="2"/>
  <c r="AB179" i="2"/>
  <c r="AA179" i="2"/>
  <c r="Z179" i="2"/>
  <c r="AD178" i="2"/>
  <c r="AC178" i="2"/>
  <c r="AB178" i="2"/>
  <c r="AA178" i="2"/>
  <c r="Z178" i="2"/>
  <c r="AD177" i="2"/>
  <c r="AC177" i="2"/>
  <c r="AB177" i="2"/>
  <c r="AA177" i="2"/>
  <c r="Z177" i="2"/>
  <c r="AD176" i="2"/>
  <c r="AC176" i="2"/>
  <c r="AB176" i="2"/>
  <c r="AA176" i="2"/>
  <c r="Z176" i="2"/>
  <c r="AD175" i="2"/>
  <c r="AC175" i="2"/>
  <c r="AB175" i="2"/>
  <c r="AA175" i="2"/>
  <c r="Z175" i="2"/>
  <c r="AD174" i="2"/>
  <c r="AC174" i="2"/>
  <c r="AB174" i="2"/>
  <c r="AA174" i="2"/>
  <c r="Z174" i="2"/>
  <c r="AD173" i="2"/>
  <c r="AC173" i="2"/>
  <c r="AB173" i="2"/>
  <c r="AA173" i="2"/>
  <c r="Z173" i="2"/>
  <c r="AD172" i="2"/>
  <c r="AC172" i="2"/>
  <c r="AB172" i="2"/>
  <c r="AA172" i="2"/>
  <c r="Z172" i="2"/>
  <c r="AD171" i="2"/>
  <c r="AC171" i="2"/>
  <c r="AB171" i="2"/>
  <c r="AA171" i="2"/>
  <c r="Z171" i="2"/>
  <c r="AD170" i="2"/>
  <c r="AC170" i="2"/>
  <c r="AB170" i="2"/>
  <c r="AA170" i="2"/>
  <c r="Z170" i="2"/>
  <c r="AD169" i="2"/>
  <c r="AC169" i="2"/>
  <c r="AB169" i="2"/>
  <c r="AA169" i="2"/>
  <c r="Z169" i="2"/>
  <c r="AD168" i="2"/>
  <c r="AC168" i="2"/>
  <c r="AB168" i="2"/>
  <c r="AA168" i="2"/>
  <c r="Z168" i="2"/>
  <c r="AD167" i="2"/>
  <c r="AC167" i="2"/>
  <c r="AB167" i="2"/>
  <c r="AA167" i="2"/>
  <c r="Z167" i="2"/>
  <c r="AD166" i="2"/>
  <c r="AC166" i="2"/>
  <c r="AB166" i="2"/>
  <c r="AA166" i="2"/>
  <c r="Z166" i="2"/>
  <c r="AD165" i="2"/>
  <c r="AC165" i="2"/>
  <c r="AB165" i="2"/>
  <c r="AA165" i="2"/>
  <c r="Z165" i="2"/>
  <c r="AD164" i="2"/>
  <c r="AC164" i="2"/>
  <c r="AB164" i="2"/>
  <c r="AA164" i="2"/>
  <c r="Z164" i="2"/>
  <c r="AD163" i="2"/>
  <c r="AC163" i="2"/>
  <c r="AB163" i="2"/>
  <c r="AA163" i="2"/>
  <c r="Z163" i="2"/>
  <c r="AD162" i="2"/>
  <c r="AC162" i="2"/>
  <c r="AB162" i="2"/>
  <c r="AA162" i="2"/>
  <c r="Z162" i="2"/>
  <c r="AD161" i="2"/>
  <c r="AC161" i="2"/>
  <c r="AB161" i="2"/>
  <c r="AA161" i="2"/>
  <c r="Z161" i="2"/>
  <c r="AD160" i="2"/>
  <c r="AC160" i="2"/>
  <c r="AB160" i="2"/>
  <c r="AA160" i="2"/>
  <c r="Z160" i="2"/>
  <c r="AD159" i="2"/>
  <c r="AC159" i="2"/>
  <c r="AB159" i="2"/>
  <c r="AA159" i="2"/>
  <c r="Z159" i="2"/>
  <c r="AD158" i="2"/>
  <c r="AC158" i="2"/>
  <c r="AB158" i="2"/>
  <c r="AA158" i="2"/>
  <c r="Z158" i="2"/>
  <c r="AD157" i="2"/>
  <c r="AC157" i="2"/>
  <c r="AB157" i="2"/>
  <c r="AA157" i="2"/>
  <c r="Z157" i="2"/>
  <c r="AD156" i="2"/>
  <c r="AC156" i="2"/>
  <c r="AB156" i="2"/>
  <c r="AA156" i="2"/>
  <c r="Z156" i="2"/>
  <c r="AD155" i="2"/>
  <c r="AC155" i="2"/>
  <c r="AB155" i="2"/>
  <c r="AA155" i="2"/>
  <c r="Z155" i="2"/>
  <c r="AD154" i="2"/>
  <c r="AC154" i="2"/>
  <c r="AB154" i="2"/>
  <c r="AA154" i="2"/>
  <c r="Z154" i="2"/>
  <c r="AD153" i="2"/>
  <c r="AC153" i="2"/>
  <c r="AB153" i="2"/>
  <c r="AA153" i="2"/>
  <c r="Z153" i="2"/>
  <c r="AD152" i="2"/>
  <c r="AC152" i="2"/>
  <c r="AB152" i="2"/>
  <c r="AA152" i="2"/>
  <c r="Z152" i="2"/>
  <c r="AD151" i="2"/>
  <c r="AC151" i="2"/>
  <c r="AB151" i="2"/>
  <c r="AA151" i="2"/>
  <c r="Z151" i="2"/>
  <c r="AD150" i="2"/>
  <c r="AC150" i="2"/>
  <c r="AB150" i="2"/>
  <c r="AA150" i="2"/>
  <c r="Z150" i="2"/>
  <c r="AD149" i="2"/>
  <c r="AC149" i="2"/>
  <c r="AB149" i="2"/>
  <c r="AA149" i="2"/>
  <c r="Z149" i="2"/>
  <c r="AD148" i="2"/>
  <c r="AC148" i="2"/>
  <c r="AB148" i="2"/>
  <c r="AA148" i="2"/>
  <c r="Z148" i="2"/>
  <c r="AD147" i="2"/>
  <c r="AC147" i="2"/>
  <c r="AB147" i="2"/>
  <c r="AA147" i="2"/>
  <c r="Z147" i="2"/>
  <c r="AD146" i="2"/>
  <c r="AC146" i="2"/>
  <c r="AB146" i="2"/>
  <c r="AA146" i="2"/>
  <c r="Z146" i="2"/>
  <c r="AD145" i="2"/>
  <c r="AC145" i="2"/>
  <c r="AB145" i="2"/>
  <c r="AA145" i="2"/>
  <c r="Z145" i="2"/>
  <c r="AD144" i="2"/>
  <c r="AC144" i="2"/>
  <c r="AB144" i="2"/>
  <c r="AA144" i="2"/>
  <c r="Z144" i="2"/>
  <c r="AD143" i="2"/>
  <c r="AC143" i="2"/>
  <c r="AB143" i="2"/>
  <c r="AA143" i="2"/>
  <c r="Z143" i="2"/>
  <c r="AD142" i="2"/>
  <c r="AC142" i="2"/>
  <c r="AB142" i="2"/>
  <c r="AA142" i="2"/>
  <c r="Z142" i="2"/>
  <c r="AD141" i="2"/>
  <c r="AC141" i="2"/>
  <c r="AB141" i="2"/>
  <c r="AA141" i="2"/>
  <c r="Z141" i="2"/>
  <c r="AD140" i="2"/>
  <c r="AC140" i="2"/>
  <c r="AB140" i="2"/>
  <c r="AA140" i="2"/>
  <c r="Z140" i="2"/>
  <c r="AD139" i="2"/>
  <c r="AC139" i="2"/>
  <c r="AB139" i="2"/>
  <c r="AA139" i="2"/>
  <c r="Z139" i="2"/>
  <c r="AD138" i="2"/>
  <c r="AC138" i="2"/>
  <c r="AB138" i="2"/>
  <c r="AA138" i="2"/>
  <c r="Z138" i="2"/>
  <c r="AD137" i="2"/>
  <c r="AC137" i="2"/>
  <c r="AB137" i="2"/>
  <c r="AA137" i="2"/>
  <c r="Z137" i="2"/>
  <c r="AD136" i="2"/>
  <c r="AC136" i="2"/>
  <c r="AB136" i="2"/>
  <c r="AA136" i="2"/>
  <c r="Z136" i="2"/>
  <c r="AD135" i="2"/>
  <c r="AC135" i="2"/>
  <c r="AB135" i="2"/>
  <c r="AA135" i="2"/>
  <c r="Z135" i="2"/>
  <c r="AD134" i="2"/>
  <c r="AC134" i="2"/>
  <c r="AB134" i="2"/>
  <c r="AA134" i="2"/>
  <c r="Z134" i="2"/>
  <c r="AD133" i="2"/>
  <c r="AC133" i="2"/>
  <c r="AB133" i="2"/>
  <c r="AA133" i="2"/>
  <c r="Z133" i="2"/>
  <c r="AD132" i="2"/>
  <c r="AC132" i="2"/>
  <c r="AB132" i="2"/>
  <c r="AA132" i="2"/>
  <c r="Z132" i="2"/>
  <c r="AD131" i="2"/>
  <c r="AC131" i="2"/>
  <c r="AB131" i="2"/>
  <c r="AA131" i="2"/>
  <c r="Z131" i="2"/>
  <c r="AD130" i="2"/>
  <c r="AC130" i="2"/>
  <c r="AB130" i="2"/>
  <c r="AA130" i="2"/>
  <c r="Z130" i="2"/>
  <c r="AD129" i="2"/>
  <c r="AC129" i="2"/>
  <c r="AB129" i="2"/>
  <c r="AA129" i="2"/>
  <c r="Z129" i="2"/>
  <c r="AD128" i="2"/>
  <c r="AC128" i="2"/>
  <c r="AB128" i="2"/>
  <c r="AA128" i="2"/>
  <c r="Z128" i="2"/>
  <c r="AD127" i="2"/>
  <c r="AC127" i="2"/>
  <c r="AB127" i="2"/>
  <c r="AA127" i="2"/>
  <c r="Z127" i="2"/>
  <c r="AD126" i="2"/>
  <c r="AC126" i="2"/>
  <c r="AB126" i="2"/>
  <c r="AA126" i="2"/>
  <c r="Z126" i="2"/>
  <c r="AD125" i="2"/>
  <c r="AC125" i="2"/>
  <c r="AB125" i="2"/>
  <c r="AA125" i="2"/>
  <c r="Z125" i="2"/>
  <c r="AD124" i="2"/>
  <c r="AC124" i="2"/>
  <c r="AB124" i="2"/>
  <c r="AA124" i="2"/>
  <c r="Z124" i="2"/>
  <c r="AD123" i="2"/>
  <c r="AC123" i="2"/>
  <c r="AB123" i="2"/>
  <c r="AA123" i="2"/>
  <c r="Z123" i="2"/>
  <c r="AD122" i="2"/>
  <c r="AC122" i="2"/>
  <c r="AB122" i="2"/>
  <c r="AA122" i="2"/>
  <c r="Z122" i="2"/>
  <c r="AD121" i="2"/>
  <c r="AC121" i="2"/>
  <c r="AB121" i="2"/>
  <c r="AA121" i="2"/>
  <c r="Z121" i="2"/>
  <c r="AD120" i="2"/>
  <c r="AC120" i="2"/>
  <c r="AB120" i="2"/>
  <c r="AA120" i="2"/>
  <c r="Z120" i="2"/>
  <c r="AD119" i="2"/>
  <c r="AC119" i="2"/>
  <c r="AB119" i="2"/>
  <c r="AA119" i="2"/>
  <c r="Z119" i="2"/>
  <c r="AD118" i="2"/>
  <c r="AC118" i="2"/>
  <c r="AB118" i="2"/>
  <c r="AA118" i="2"/>
  <c r="Z118" i="2"/>
  <c r="AD117" i="2"/>
  <c r="AC117" i="2"/>
  <c r="AB117" i="2"/>
  <c r="AA117" i="2"/>
  <c r="Z117" i="2"/>
  <c r="AD116" i="2"/>
  <c r="AC116" i="2"/>
  <c r="AB116" i="2"/>
  <c r="AA116" i="2"/>
  <c r="Z116" i="2"/>
  <c r="AD115" i="2"/>
  <c r="AC115" i="2"/>
  <c r="AB115" i="2"/>
  <c r="AA115" i="2"/>
  <c r="Z115" i="2"/>
  <c r="AD114" i="2"/>
  <c r="AC114" i="2"/>
  <c r="AB114" i="2"/>
  <c r="AA114" i="2"/>
  <c r="Z114" i="2"/>
  <c r="AD113" i="2"/>
  <c r="AC113" i="2"/>
  <c r="AB113" i="2"/>
  <c r="AA113" i="2"/>
  <c r="Z113" i="2"/>
  <c r="AD112" i="2"/>
  <c r="AC112" i="2"/>
  <c r="AB112" i="2"/>
  <c r="AA112" i="2"/>
  <c r="Z112" i="2"/>
  <c r="AD111" i="2"/>
  <c r="AC111" i="2"/>
  <c r="AB111" i="2"/>
  <c r="AA111" i="2"/>
  <c r="Z111" i="2"/>
  <c r="AD110" i="2"/>
  <c r="AC110" i="2"/>
  <c r="AB110" i="2"/>
  <c r="AA110" i="2"/>
  <c r="Z110" i="2"/>
  <c r="AD109" i="2"/>
  <c r="AC109" i="2"/>
  <c r="AB109" i="2"/>
  <c r="AA109" i="2"/>
  <c r="Z109" i="2"/>
  <c r="AD108" i="2"/>
  <c r="AC108" i="2"/>
  <c r="AB108" i="2"/>
  <c r="AA108" i="2"/>
  <c r="Z108" i="2"/>
  <c r="AD107" i="2"/>
  <c r="AC107" i="2"/>
  <c r="AB107" i="2"/>
  <c r="AA107" i="2"/>
  <c r="Z107" i="2"/>
  <c r="AD106" i="2"/>
  <c r="AC106" i="2"/>
  <c r="AB106" i="2"/>
  <c r="AA106" i="2"/>
  <c r="Z106" i="2"/>
  <c r="AD105" i="2"/>
  <c r="AC105" i="2"/>
  <c r="AB105" i="2"/>
  <c r="AA105" i="2"/>
  <c r="Z105" i="2"/>
  <c r="AD104" i="2"/>
  <c r="AC104" i="2"/>
  <c r="AB104" i="2"/>
  <c r="AA104" i="2"/>
  <c r="Z104" i="2"/>
  <c r="AD103" i="2"/>
  <c r="AC103" i="2"/>
  <c r="AB103" i="2"/>
  <c r="AA103" i="2"/>
  <c r="Z103" i="2"/>
  <c r="AD102" i="2"/>
  <c r="AC102" i="2"/>
  <c r="AB102" i="2"/>
  <c r="AA102" i="2"/>
  <c r="Z102" i="2"/>
  <c r="AD101" i="2"/>
  <c r="AC101" i="2"/>
  <c r="AB101" i="2"/>
  <c r="AA101" i="2"/>
  <c r="Z101" i="2"/>
  <c r="AD100" i="2"/>
  <c r="AC100" i="2"/>
  <c r="AB100" i="2"/>
  <c r="AA100" i="2"/>
  <c r="Z100" i="2"/>
  <c r="AD99" i="2"/>
  <c r="AC99" i="2"/>
  <c r="AB99" i="2"/>
  <c r="AA99" i="2"/>
  <c r="Z99" i="2"/>
  <c r="AD98" i="2"/>
  <c r="AC98" i="2"/>
  <c r="AB98" i="2"/>
  <c r="AA98" i="2"/>
  <c r="Z98" i="2"/>
  <c r="AD91" i="2"/>
  <c r="AC91" i="2"/>
  <c r="AB91" i="2"/>
  <c r="AA91" i="2"/>
  <c r="Z91" i="2"/>
  <c r="AD90" i="2"/>
  <c r="AC90" i="2"/>
  <c r="AB90" i="2"/>
  <c r="AA90" i="2"/>
  <c r="Z90" i="2"/>
  <c r="AD89" i="2"/>
  <c r="AC89" i="2"/>
  <c r="AB89" i="2"/>
  <c r="AA89" i="2"/>
  <c r="Z89" i="2"/>
  <c r="AD88" i="2"/>
  <c r="AC88" i="2"/>
  <c r="AB88" i="2"/>
  <c r="AA88" i="2"/>
  <c r="Z88" i="2"/>
  <c r="AD87" i="2"/>
  <c r="AC87" i="2"/>
  <c r="AB87" i="2"/>
  <c r="AA87" i="2"/>
  <c r="Z87" i="2"/>
  <c r="AD86" i="2"/>
  <c r="AC86" i="2"/>
  <c r="AB86" i="2"/>
  <c r="AA86" i="2"/>
  <c r="Z86" i="2"/>
  <c r="AD85" i="2"/>
  <c r="AC85" i="2"/>
  <c r="AB85" i="2"/>
  <c r="AA85" i="2"/>
  <c r="Z85" i="2"/>
  <c r="AD84" i="2"/>
  <c r="AC84" i="2"/>
  <c r="AB84" i="2"/>
  <c r="AA84" i="2"/>
  <c r="Z84" i="2"/>
  <c r="AD83" i="2"/>
  <c r="AC83" i="2"/>
  <c r="AB83" i="2"/>
  <c r="AA83" i="2"/>
  <c r="Z83" i="2"/>
  <c r="AD82" i="2"/>
  <c r="AC82" i="2"/>
  <c r="AB82" i="2"/>
  <c r="AA82" i="2"/>
  <c r="Z82" i="2"/>
  <c r="AD81" i="2"/>
  <c r="AC81" i="2"/>
  <c r="AB81" i="2"/>
  <c r="AA81" i="2"/>
  <c r="Z81" i="2"/>
  <c r="AD80" i="2"/>
  <c r="AC80" i="2"/>
  <c r="AB80" i="2"/>
  <c r="AA80" i="2"/>
  <c r="Z80" i="2"/>
  <c r="AD79" i="2"/>
  <c r="AC79" i="2"/>
  <c r="AB79" i="2"/>
  <c r="AA79" i="2"/>
  <c r="Z79" i="2"/>
  <c r="AD78" i="2"/>
  <c r="AC78" i="2"/>
  <c r="AB78" i="2"/>
  <c r="AA78" i="2"/>
  <c r="Z78" i="2"/>
  <c r="AD77" i="2"/>
  <c r="AC77" i="2"/>
  <c r="AB77" i="2"/>
  <c r="AA77" i="2"/>
  <c r="Z77" i="2"/>
  <c r="AD76" i="2"/>
  <c r="AC76" i="2"/>
  <c r="AB76" i="2"/>
  <c r="AA76" i="2"/>
  <c r="Z76" i="2"/>
  <c r="AD75" i="2"/>
  <c r="AC75" i="2"/>
  <c r="AB75" i="2"/>
  <c r="AA75" i="2"/>
  <c r="Z75" i="2"/>
  <c r="AD74" i="2"/>
  <c r="AC74" i="2"/>
  <c r="AB74" i="2"/>
  <c r="AA74" i="2"/>
  <c r="Z74" i="2"/>
  <c r="AD73" i="2"/>
  <c r="AC73" i="2"/>
  <c r="AB73" i="2"/>
  <c r="AA73" i="2"/>
  <c r="Z73" i="2"/>
  <c r="AD72" i="2"/>
  <c r="AC72" i="2"/>
  <c r="AB72" i="2"/>
  <c r="AA72" i="2"/>
  <c r="Z72" i="2"/>
  <c r="AD71" i="2"/>
  <c r="AC71" i="2"/>
  <c r="AB71" i="2"/>
  <c r="AA71" i="2"/>
  <c r="Z71" i="2"/>
  <c r="AD70" i="2"/>
  <c r="AC70" i="2"/>
  <c r="AB70" i="2"/>
  <c r="AA70" i="2"/>
  <c r="Z70" i="2"/>
  <c r="AD69" i="2"/>
  <c r="AC69" i="2"/>
  <c r="AB69" i="2"/>
  <c r="AA69" i="2"/>
  <c r="Z69" i="2"/>
  <c r="AD68" i="2"/>
  <c r="AC68" i="2"/>
  <c r="AB68" i="2"/>
  <c r="AA68" i="2"/>
  <c r="Z68" i="2"/>
  <c r="AD67" i="2"/>
  <c r="AC67" i="2"/>
  <c r="AB67" i="2"/>
  <c r="AA67" i="2"/>
  <c r="Z67" i="2"/>
  <c r="AD66" i="2"/>
  <c r="AC66" i="2"/>
  <c r="AB66" i="2"/>
  <c r="AA66" i="2"/>
  <c r="Z66" i="2"/>
  <c r="AD65" i="2"/>
  <c r="AC65" i="2"/>
  <c r="AB65" i="2"/>
  <c r="AA65" i="2"/>
  <c r="Z65" i="2"/>
  <c r="AD64" i="2"/>
  <c r="AC64" i="2"/>
  <c r="AB64" i="2"/>
  <c r="AA64" i="2"/>
  <c r="Z64" i="2"/>
  <c r="AD63" i="2"/>
  <c r="AC63" i="2"/>
  <c r="AB63" i="2"/>
  <c r="AA63" i="2"/>
  <c r="Z63" i="2"/>
  <c r="AD62" i="2"/>
  <c r="AC62" i="2"/>
  <c r="AB62" i="2"/>
  <c r="AA62" i="2"/>
  <c r="Z62" i="2"/>
  <c r="AD61" i="2"/>
  <c r="AC61" i="2"/>
  <c r="AB61" i="2"/>
  <c r="AA61" i="2"/>
  <c r="Z61" i="2"/>
  <c r="AD60" i="2"/>
  <c r="AC60" i="2"/>
  <c r="AB60" i="2"/>
  <c r="AA60" i="2"/>
  <c r="Z60" i="2"/>
  <c r="AD59" i="2"/>
  <c r="AC59" i="2"/>
  <c r="AB59" i="2"/>
  <c r="AA59" i="2"/>
  <c r="Z59" i="2"/>
  <c r="AD58" i="2"/>
  <c r="AC58" i="2"/>
  <c r="AB58" i="2"/>
  <c r="AA58" i="2"/>
  <c r="Z58" i="2"/>
  <c r="AD57" i="2"/>
  <c r="AC57" i="2"/>
  <c r="AB57" i="2"/>
  <c r="AA57" i="2"/>
  <c r="Z57" i="2"/>
  <c r="AD56" i="2"/>
  <c r="AC56" i="2"/>
  <c r="AB56" i="2"/>
  <c r="AA56" i="2"/>
  <c r="Z56" i="2"/>
  <c r="AD55" i="2"/>
  <c r="AC55" i="2"/>
  <c r="AB55" i="2"/>
  <c r="AA55" i="2"/>
  <c r="Z55" i="2"/>
  <c r="AD54" i="2"/>
  <c r="AC54" i="2"/>
  <c r="AB54" i="2"/>
  <c r="AA54" i="2"/>
  <c r="Z54" i="2"/>
  <c r="AD53" i="2"/>
  <c r="AC53" i="2"/>
  <c r="AB53" i="2"/>
  <c r="AA53" i="2"/>
  <c r="Z53" i="2"/>
  <c r="AD52" i="2"/>
  <c r="AC52" i="2"/>
  <c r="AB52" i="2"/>
  <c r="AA52" i="2"/>
  <c r="Z52" i="2"/>
  <c r="AD51" i="2"/>
  <c r="AC51" i="2"/>
  <c r="AB51" i="2"/>
  <c r="AA51" i="2"/>
  <c r="Z51" i="2"/>
  <c r="AD50" i="2"/>
  <c r="AC50" i="2"/>
  <c r="AB50" i="2"/>
  <c r="AA50" i="2"/>
  <c r="Z50" i="2"/>
  <c r="AD49" i="2"/>
  <c r="AC49" i="2"/>
  <c r="AB49" i="2"/>
  <c r="AA49" i="2"/>
  <c r="Z49" i="2"/>
  <c r="AD48" i="2"/>
  <c r="AC48" i="2"/>
  <c r="AB48" i="2"/>
  <c r="AA48" i="2"/>
  <c r="Z48" i="2"/>
  <c r="AD47" i="2"/>
  <c r="AC47" i="2"/>
  <c r="AB47" i="2"/>
  <c r="AA47" i="2"/>
  <c r="Z47" i="2"/>
  <c r="AD46" i="2"/>
  <c r="AC46" i="2"/>
  <c r="AB46" i="2"/>
  <c r="AA46" i="2"/>
  <c r="Z46" i="2"/>
  <c r="AD45" i="2"/>
  <c r="AC45" i="2"/>
  <c r="AB45" i="2"/>
  <c r="AA45" i="2"/>
  <c r="Z45" i="2"/>
  <c r="AD44" i="2"/>
  <c r="AC44" i="2"/>
  <c r="AB44" i="2"/>
  <c r="AA44" i="2"/>
  <c r="Z44" i="2"/>
  <c r="AD43" i="2"/>
  <c r="AC43" i="2"/>
  <c r="AB43" i="2"/>
  <c r="AA43" i="2"/>
  <c r="Z43" i="2"/>
  <c r="AD42" i="2"/>
  <c r="AC42" i="2"/>
  <c r="AB42" i="2"/>
  <c r="AA42" i="2"/>
  <c r="Z42" i="2"/>
  <c r="AD41" i="2"/>
  <c r="AC41" i="2"/>
  <c r="AB41" i="2"/>
  <c r="AA41" i="2"/>
  <c r="Z41" i="2"/>
  <c r="AD40" i="2"/>
  <c r="AC40" i="2"/>
  <c r="AB40" i="2"/>
  <c r="AA40" i="2"/>
  <c r="Z40" i="2"/>
  <c r="AD39" i="2"/>
  <c r="AC39" i="2"/>
  <c r="AB39" i="2"/>
  <c r="AA39" i="2"/>
  <c r="Z39" i="2"/>
  <c r="AD38" i="2"/>
  <c r="AC38" i="2"/>
  <c r="AB38" i="2"/>
  <c r="AA38" i="2"/>
  <c r="Z38" i="2"/>
  <c r="AD37" i="2"/>
  <c r="AC37" i="2"/>
  <c r="AB37" i="2"/>
  <c r="AA37" i="2"/>
  <c r="Z37" i="2"/>
  <c r="AD36" i="2"/>
  <c r="AC36" i="2"/>
  <c r="AB36" i="2"/>
  <c r="AA36" i="2"/>
  <c r="Z36" i="2"/>
  <c r="AD35" i="2"/>
  <c r="AC35" i="2"/>
  <c r="AB35" i="2"/>
  <c r="AA35" i="2"/>
  <c r="Z35" i="2"/>
  <c r="AD34" i="2"/>
  <c r="AC34" i="2"/>
  <c r="AB34" i="2"/>
  <c r="AA34" i="2"/>
  <c r="Z34" i="2"/>
  <c r="AD33" i="2"/>
  <c r="AC33" i="2"/>
  <c r="AB33" i="2"/>
  <c r="AA33" i="2"/>
  <c r="Z33" i="2"/>
  <c r="AD32" i="2"/>
  <c r="AC32" i="2"/>
  <c r="AB32" i="2"/>
  <c r="AA32" i="2"/>
  <c r="Z32" i="2"/>
  <c r="AD31" i="2"/>
  <c r="AC31" i="2"/>
  <c r="AB31" i="2"/>
  <c r="AA31" i="2"/>
  <c r="Z31" i="2"/>
  <c r="AD30" i="2"/>
  <c r="AC30" i="2"/>
  <c r="AB30" i="2"/>
  <c r="AA30" i="2"/>
  <c r="Z30" i="2"/>
  <c r="AD29" i="2"/>
  <c r="AC29" i="2"/>
  <c r="AB29" i="2"/>
  <c r="AA29" i="2"/>
  <c r="Z29" i="2"/>
  <c r="AD28" i="2"/>
  <c r="AC28" i="2"/>
  <c r="AB28" i="2"/>
  <c r="AA28" i="2"/>
  <c r="Z28" i="2"/>
  <c r="AD27" i="2"/>
  <c r="AC27" i="2"/>
  <c r="AB27" i="2"/>
  <c r="AA27" i="2"/>
  <c r="Z27" i="2"/>
  <c r="AD26" i="2"/>
  <c r="AC26" i="2"/>
  <c r="AB26" i="2"/>
  <c r="AA26" i="2"/>
  <c r="Z26" i="2"/>
  <c r="AD25" i="2"/>
  <c r="AC25" i="2"/>
  <c r="AB25" i="2"/>
  <c r="AA25" i="2"/>
  <c r="Z25" i="2"/>
  <c r="AD24" i="2"/>
  <c r="AC24" i="2"/>
  <c r="AB24" i="2"/>
  <c r="AA24" i="2"/>
  <c r="Z24" i="2"/>
  <c r="AD23" i="2"/>
  <c r="AC23" i="2"/>
  <c r="AB23" i="2"/>
  <c r="AA23" i="2"/>
  <c r="Z23" i="2"/>
  <c r="AD22" i="2"/>
  <c r="AC22" i="2"/>
  <c r="AB22" i="2"/>
  <c r="AA22" i="2"/>
  <c r="Z22" i="2"/>
  <c r="AD21" i="2"/>
  <c r="AC21" i="2"/>
  <c r="AB21" i="2"/>
  <c r="AA21" i="2"/>
  <c r="Z21" i="2"/>
  <c r="AD20" i="2"/>
  <c r="AC20" i="2"/>
  <c r="AB20" i="2"/>
  <c r="AA20" i="2"/>
  <c r="Z20" i="2"/>
  <c r="AD19" i="2"/>
  <c r="AC19" i="2"/>
  <c r="AB19" i="2"/>
  <c r="AA19" i="2"/>
  <c r="Z19" i="2"/>
  <c r="AD18" i="2"/>
  <c r="AC18" i="2"/>
  <c r="AB18" i="2"/>
  <c r="AA18" i="2"/>
  <c r="Z18" i="2"/>
  <c r="AI407" i="2"/>
  <c r="AH407" i="2"/>
  <c r="AG407" i="2"/>
  <c r="AF407" i="2"/>
  <c r="AE407" i="2"/>
  <c r="AI406" i="2"/>
  <c r="AH406" i="2"/>
  <c r="AG406" i="2"/>
  <c r="AF406" i="2"/>
  <c r="AE406" i="2"/>
  <c r="AI405" i="2"/>
  <c r="AH405" i="2"/>
  <c r="AG405" i="2"/>
  <c r="AF405" i="2"/>
  <c r="AE405" i="2"/>
  <c r="AI404" i="2"/>
  <c r="AH404" i="2"/>
  <c r="AG404" i="2"/>
  <c r="AF404" i="2"/>
  <c r="AE404" i="2"/>
  <c r="AI403" i="2"/>
  <c r="AH403" i="2"/>
  <c r="AG403" i="2"/>
  <c r="AF403" i="2"/>
  <c r="AE403" i="2"/>
  <c r="AI402" i="2"/>
  <c r="AH402" i="2"/>
  <c r="AG402" i="2"/>
  <c r="AF402" i="2"/>
  <c r="AE402" i="2"/>
  <c r="AI401" i="2"/>
  <c r="AH401" i="2"/>
  <c r="AG401" i="2"/>
  <c r="AF401" i="2"/>
  <c r="AE401" i="2"/>
  <c r="AI400" i="2"/>
  <c r="AH400" i="2"/>
  <c r="AG400" i="2"/>
  <c r="AF400" i="2"/>
  <c r="AE400" i="2"/>
  <c r="AI399" i="2"/>
  <c r="AH399" i="2"/>
  <c r="AG399" i="2"/>
  <c r="AF399" i="2"/>
  <c r="AE399" i="2"/>
  <c r="AI398" i="2"/>
  <c r="AH398" i="2"/>
  <c r="AG398" i="2"/>
  <c r="AF398" i="2"/>
  <c r="AE398" i="2"/>
  <c r="AI397" i="2"/>
  <c r="AH397" i="2"/>
  <c r="AG397" i="2"/>
  <c r="AF397" i="2"/>
  <c r="AE397" i="2"/>
  <c r="AI396" i="2"/>
  <c r="AH396" i="2"/>
  <c r="AG396" i="2"/>
  <c r="AF396" i="2"/>
  <c r="AE396" i="2"/>
  <c r="AI395" i="2"/>
  <c r="AH395" i="2"/>
  <c r="AG395" i="2"/>
  <c r="AF395" i="2"/>
  <c r="AE395" i="2"/>
  <c r="AI394" i="2"/>
  <c r="AH394" i="2"/>
  <c r="AG394" i="2"/>
  <c r="AF394" i="2"/>
  <c r="AE394" i="2"/>
  <c r="AI393" i="2"/>
  <c r="AH393" i="2"/>
  <c r="AG393" i="2"/>
  <c r="AF393" i="2"/>
  <c r="AE393" i="2"/>
  <c r="AI392" i="2"/>
  <c r="AH392" i="2"/>
  <c r="AG392" i="2"/>
  <c r="AF392" i="2"/>
  <c r="AE392" i="2"/>
  <c r="AI391" i="2"/>
  <c r="AH391" i="2"/>
  <c r="AG391" i="2"/>
  <c r="AF391" i="2"/>
  <c r="AE391" i="2"/>
  <c r="AI390" i="2"/>
  <c r="AH390" i="2"/>
  <c r="AG390" i="2"/>
  <c r="AF390" i="2"/>
  <c r="AE390" i="2"/>
  <c r="AI389" i="2"/>
  <c r="AH389" i="2"/>
  <c r="AG389" i="2"/>
  <c r="AF389" i="2"/>
  <c r="AE389" i="2"/>
  <c r="AI388" i="2"/>
  <c r="AH388" i="2"/>
  <c r="AG388" i="2"/>
  <c r="AF388" i="2"/>
  <c r="AE388" i="2"/>
  <c r="AI387" i="2"/>
  <c r="AH387" i="2"/>
  <c r="AG387" i="2"/>
  <c r="AF387" i="2"/>
  <c r="AE387" i="2"/>
  <c r="AI386" i="2"/>
  <c r="AH386" i="2"/>
  <c r="AG386" i="2"/>
  <c r="AF386" i="2"/>
  <c r="AE386" i="2"/>
  <c r="AI385" i="2"/>
  <c r="AH385" i="2"/>
  <c r="AG385" i="2"/>
  <c r="AF385" i="2"/>
  <c r="AE385" i="2"/>
  <c r="AI384" i="2"/>
  <c r="AH384" i="2"/>
  <c r="AG384" i="2"/>
  <c r="AF384" i="2"/>
  <c r="AE384" i="2"/>
  <c r="AI383" i="2"/>
  <c r="AH383" i="2"/>
  <c r="AG383" i="2"/>
  <c r="AF383" i="2"/>
  <c r="AE383" i="2"/>
  <c r="AI382" i="2"/>
  <c r="AH382" i="2"/>
  <c r="AG382" i="2"/>
  <c r="AF382" i="2"/>
  <c r="AE382" i="2"/>
  <c r="AI381" i="2"/>
  <c r="AH381" i="2"/>
  <c r="AG381" i="2"/>
  <c r="AF381" i="2"/>
  <c r="AE381" i="2"/>
  <c r="AI380" i="2"/>
  <c r="AH380" i="2"/>
  <c r="AG380" i="2"/>
  <c r="AF380" i="2"/>
  <c r="AE380" i="2"/>
  <c r="AI379" i="2"/>
  <c r="AH379" i="2"/>
  <c r="AG379" i="2"/>
  <c r="AF379" i="2"/>
  <c r="AE379" i="2"/>
  <c r="AI378" i="2"/>
  <c r="AH378" i="2"/>
  <c r="AG378" i="2"/>
  <c r="AF378" i="2"/>
  <c r="AE378" i="2"/>
  <c r="AI377" i="2"/>
  <c r="AH377" i="2"/>
  <c r="AG377" i="2"/>
  <c r="AF377" i="2"/>
  <c r="AE377" i="2"/>
  <c r="AI376" i="2"/>
  <c r="AH376" i="2"/>
  <c r="AG376" i="2"/>
  <c r="AF376" i="2"/>
  <c r="AE376" i="2"/>
  <c r="AI375" i="2"/>
  <c r="AH375" i="2"/>
  <c r="AG375" i="2"/>
  <c r="AF375" i="2"/>
  <c r="AE375" i="2"/>
  <c r="AI374" i="2"/>
  <c r="AH374" i="2"/>
  <c r="AG374" i="2"/>
  <c r="AF374" i="2"/>
  <c r="AE374" i="2"/>
  <c r="AI373" i="2"/>
  <c r="AH373" i="2"/>
  <c r="AG373" i="2"/>
  <c r="AF373" i="2"/>
  <c r="AE373" i="2"/>
  <c r="AI372" i="2" l="1"/>
  <c r="AH372" i="2"/>
  <c r="AG372" i="2"/>
  <c r="AF372" i="2"/>
  <c r="AE372" i="2"/>
  <c r="AI371" i="2"/>
  <c r="AH371" i="2"/>
  <c r="AG371" i="2"/>
  <c r="AF371" i="2"/>
  <c r="AE371" i="2"/>
  <c r="AI370" i="2"/>
  <c r="AH370" i="2"/>
  <c r="AG370" i="2"/>
  <c r="AF370" i="2"/>
  <c r="AE370" i="2"/>
  <c r="AI369" i="2"/>
  <c r="AH369" i="2"/>
  <c r="AG369" i="2"/>
  <c r="AF369" i="2"/>
  <c r="AE369" i="2"/>
  <c r="AI368" i="2"/>
  <c r="AH368" i="2"/>
  <c r="AG368" i="2"/>
  <c r="AF368" i="2"/>
  <c r="AE368" i="2"/>
  <c r="AI367" i="2"/>
  <c r="AH367" i="2"/>
  <c r="AG367" i="2"/>
  <c r="AF367" i="2"/>
  <c r="AE367" i="2"/>
  <c r="AI366" i="2"/>
  <c r="AH366" i="2"/>
  <c r="AG366" i="2"/>
  <c r="AF366" i="2"/>
  <c r="AE366" i="2"/>
  <c r="AI365" i="2"/>
  <c r="AH365" i="2"/>
  <c r="AG365" i="2"/>
  <c r="AF365" i="2"/>
  <c r="AE365" i="2"/>
  <c r="AI364" i="2"/>
  <c r="AH364" i="2"/>
  <c r="AG364" i="2"/>
  <c r="AF364" i="2"/>
  <c r="AE364" i="2"/>
  <c r="AI363" i="2"/>
  <c r="AH363" i="2"/>
  <c r="AG363" i="2"/>
  <c r="AF363" i="2"/>
  <c r="AE363" i="2"/>
  <c r="AI362" i="2"/>
  <c r="AH362" i="2"/>
  <c r="AG362" i="2"/>
  <c r="AF362" i="2"/>
  <c r="AE362" i="2"/>
  <c r="AI361" i="2"/>
  <c r="AH361" i="2"/>
  <c r="AG361" i="2"/>
  <c r="AF361" i="2"/>
  <c r="AE361" i="2"/>
  <c r="AI360" i="2"/>
  <c r="AH360" i="2"/>
  <c r="AG360" i="2"/>
  <c r="AF360" i="2"/>
  <c r="AE360" i="2"/>
  <c r="AI359" i="2"/>
  <c r="AH359" i="2"/>
  <c r="AG359" i="2"/>
  <c r="AF359" i="2"/>
  <c r="AE359" i="2"/>
  <c r="AI358" i="2"/>
  <c r="AH358" i="2"/>
  <c r="AG358" i="2"/>
  <c r="AF358" i="2"/>
  <c r="AE358" i="2"/>
  <c r="AI357" i="2"/>
  <c r="AH357" i="2"/>
  <c r="AG357" i="2"/>
  <c r="AF357" i="2"/>
  <c r="AE357" i="2"/>
  <c r="AI356" i="2"/>
  <c r="AH356" i="2"/>
  <c r="AG356" i="2"/>
  <c r="AF356" i="2"/>
  <c r="AE356" i="2"/>
  <c r="AI355" i="2"/>
  <c r="AH355" i="2"/>
  <c r="AG355" i="2"/>
  <c r="AF355" i="2"/>
  <c r="AE355" i="2"/>
  <c r="AI354" i="2"/>
  <c r="AH354" i="2"/>
  <c r="AG354" i="2"/>
  <c r="AF354" i="2"/>
  <c r="AE354" i="2"/>
  <c r="AI353" i="2"/>
  <c r="AH353" i="2"/>
  <c r="AG353" i="2"/>
  <c r="AF353" i="2"/>
  <c r="AE353" i="2"/>
  <c r="AI352" i="2"/>
  <c r="AH352" i="2"/>
  <c r="AG352" i="2"/>
  <c r="AF352" i="2"/>
  <c r="AE352" i="2"/>
  <c r="AI351" i="2"/>
  <c r="AH351" i="2"/>
  <c r="AG351" i="2"/>
  <c r="AF351" i="2"/>
  <c r="AE351" i="2"/>
  <c r="AI350" i="2"/>
  <c r="AH350" i="2"/>
  <c r="AG350" i="2"/>
  <c r="AF350" i="2"/>
  <c r="AE350" i="2"/>
  <c r="AI349" i="2"/>
  <c r="AH349" i="2"/>
  <c r="AG349" i="2"/>
  <c r="AF349" i="2"/>
  <c r="AE349" i="2"/>
  <c r="AI348" i="2"/>
  <c r="AH348" i="2"/>
  <c r="AG348" i="2"/>
  <c r="AF348" i="2"/>
  <c r="AE348" i="2"/>
  <c r="AI347" i="2"/>
  <c r="AH347" i="2"/>
  <c r="AG347" i="2"/>
  <c r="AF347" i="2"/>
  <c r="AE347" i="2"/>
  <c r="AI346" i="2"/>
  <c r="AH346" i="2"/>
  <c r="AG346" i="2"/>
  <c r="AF346" i="2"/>
  <c r="AE346" i="2"/>
  <c r="AI345" i="2"/>
  <c r="AH345" i="2"/>
  <c r="AG345" i="2"/>
  <c r="AF345" i="2"/>
  <c r="AE345" i="2"/>
  <c r="AI344" i="2"/>
  <c r="AH344" i="2"/>
  <c r="AG344" i="2"/>
  <c r="AF344" i="2"/>
  <c r="AE344" i="2"/>
  <c r="AI343" i="2"/>
  <c r="AH343" i="2"/>
  <c r="AG343" i="2"/>
  <c r="AF343" i="2"/>
  <c r="AE343" i="2"/>
  <c r="AI342" i="2"/>
  <c r="AH342" i="2"/>
  <c r="AG342" i="2"/>
  <c r="AF342" i="2"/>
  <c r="AE342" i="2"/>
  <c r="AI341" i="2"/>
  <c r="AH341" i="2"/>
  <c r="AG341" i="2"/>
  <c r="AF341" i="2"/>
  <c r="AE341" i="2"/>
  <c r="AI340" i="2"/>
  <c r="AH340" i="2"/>
  <c r="AG340" i="2"/>
  <c r="AF340" i="2"/>
  <c r="AE340" i="2"/>
  <c r="AI339" i="2"/>
  <c r="AH339" i="2"/>
  <c r="AG339" i="2"/>
  <c r="AF339" i="2"/>
  <c r="AE339" i="2"/>
  <c r="AI338" i="2"/>
  <c r="AH338" i="2"/>
  <c r="AG338" i="2"/>
  <c r="AF338" i="2"/>
  <c r="AE338" i="2"/>
  <c r="AI337" i="2"/>
  <c r="AH337" i="2"/>
  <c r="AG337" i="2"/>
  <c r="AF337" i="2"/>
  <c r="AE337" i="2"/>
  <c r="AI336" i="2" l="1"/>
  <c r="AH336" i="2"/>
  <c r="AG336" i="2"/>
  <c r="AF336" i="2"/>
  <c r="AE336" i="2"/>
  <c r="AI335" i="2"/>
  <c r="AH335" i="2"/>
  <c r="AG335" i="2"/>
  <c r="AF335" i="2"/>
  <c r="AE335" i="2"/>
  <c r="AI334" i="2"/>
  <c r="AH334" i="2"/>
  <c r="AG334" i="2"/>
  <c r="AF334" i="2"/>
  <c r="AE334" i="2"/>
  <c r="AI333" i="2"/>
  <c r="AH333" i="2"/>
  <c r="AG333" i="2"/>
  <c r="AF333" i="2"/>
  <c r="AE333" i="2"/>
  <c r="AI332" i="2"/>
  <c r="AH332" i="2"/>
  <c r="AG332" i="2"/>
  <c r="AF332" i="2"/>
  <c r="AE332" i="2"/>
  <c r="AI331" i="2"/>
  <c r="AH331" i="2"/>
  <c r="AG331" i="2"/>
  <c r="AF331" i="2"/>
  <c r="AE331" i="2"/>
  <c r="AI330" i="2"/>
  <c r="AH330" i="2"/>
  <c r="AG330" i="2"/>
  <c r="AF330" i="2"/>
  <c r="AE330" i="2"/>
  <c r="AI329" i="2"/>
  <c r="AH329" i="2"/>
  <c r="AG329" i="2"/>
  <c r="AF329" i="2"/>
  <c r="AE329" i="2"/>
  <c r="AI328" i="2"/>
  <c r="AH328" i="2"/>
  <c r="AG328" i="2"/>
  <c r="AF328" i="2"/>
  <c r="AE328" i="2"/>
  <c r="AI327" i="2"/>
  <c r="AH327" i="2"/>
  <c r="AG327" i="2"/>
  <c r="AF327" i="2"/>
  <c r="AE327" i="2"/>
  <c r="AI326" i="2"/>
  <c r="AH326" i="2"/>
  <c r="AG326" i="2"/>
  <c r="AF326" i="2"/>
  <c r="AE326" i="2"/>
  <c r="AI325" i="2"/>
  <c r="AH325" i="2"/>
  <c r="AG325" i="2"/>
  <c r="AF325" i="2"/>
  <c r="AE325" i="2"/>
  <c r="AI324" i="2"/>
  <c r="AH324" i="2"/>
  <c r="AG324" i="2"/>
  <c r="AF324" i="2"/>
  <c r="AE324" i="2"/>
  <c r="AI323" i="2"/>
  <c r="AH323" i="2"/>
  <c r="AG323" i="2"/>
  <c r="AF323" i="2"/>
  <c r="AE323" i="2"/>
  <c r="AI322" i="2"/>
  <c r="AH322" i="2"/>
  <c r="AG322" i="2"/>
  <c r="AF322" i="2"/>
  <c r="AE322" i="2"/>
  <c r="AI321" i="2"/>
  <c r="AH321" i="2"/>
  <c r="AG321" i="2"/>
  <c r="AF321" i="2"/>
  <c r="AE321" i="2"/>
  <c r="AI320" i="2"/>
  <c r="AH320" i="2"/>
  <c r="AG320" i="2"/>
  <c r="AF320" i="2"/>
  <c r="AE320" i="2"/>
  <c r="AI319" i="2"/>
  <c r="AH319" i="2"/>
  <c r="AG319" i="2"/>
  <c r="AF319" i="2"/>
  <c r="AE319" i="2"/>
  <c r="AI318" i="2"/>
  <c r="AH318" i="2"/>
  <c r="AG318" i="2"/>
  <c r="AF318" i="2"/>
  <c r="AE318" i="2"/>
  <c r="AI317" i="2"/>
  <c r="AH317" i="2"/>
  <c r="AG317" i="2"/>
  <c r="AF317" i="2"/>
  <c r="AE317" i="2"/>
  <c r="AI316" i="2"/>
  <c r="AH316" i="2"/>
  <c r="AG316" i="2"/>
  <c r="AF316" i="2"/>
  <c r="AE316" i="2"/>
  <c r="AI315" i="2"/>
  <c r="AH315" i="2"/>
  <c r="AG315" i="2"/>
  <c r="AF315" i="2"/>
  <c r="AE315" i="2"/>
  <c r="AI314" i="2"/>
  <c r="AH314" i="2"/>
  <c r="AG314" i="2"/>
  <c r="AF314" i="2"/>
  <c r="AE314" i="2"/>
  <c r="AI313" i="2"/>
  <c r="AH313" i="2"/>
  <c r="AG313" i="2"/>
  <c r="AF313" i="2"/>
  <c r="AE313" i="2"/>
  <c r="AI312" i="2"/>
  <c r="AH312" i="2"/>
  <c r="AG312" i="2"/>
  <c r="AF312" i="2"/>
  <c r="AE312" i="2"/>
  <c r="AI311" i="2"/>
  <c r="AH311" i="2"/>
  <c r="AG311" i="2"/>
  <c r="AF311" i="2"/>
  <c r="AE311" i="2"/>
  <c r="AI310" i="2"/>
  <c r="AH310" i="2"/>
  <c r="AG310" i="2"/>
  <c r="AF310" i="2"/>
  <c r="AE310" i="2"/>
  <c r="AI309" i="2"/>
  <c r="AH309" i="2"/>
  <c r="AG309" i="2"/>
  <c r="AF309" i="2"/>
  <c r="AE309" i="2"/>
  <c r="AI308" i="2"/>
  <c r="AH308" i="2"/>
  <c r="AG308" i="2"/>
  <c r="AF308" i="2"/>
  <c r="AE308" i="2"/>
  <c r="AI307" i="2"/>
  <c r="AH307" i="2"/>
  <c r="AG307" i="2"/>
  <c r="AF307" i="2"/>
  <c r="AE307" i="2"/>
  <c r="AI306" i="2"/>
  <c r="AH306" i="2"/>
  <c r="AG306" i="2"/>
  <c r="AF306" i="2"/>
  <c r="AE306" i="2"/>
  <c r="AI305" i="2"/>
  <c r="AH305" i="2"/>
  <c r="AG305" i="2"/>
  <c r="AF305" i="2"/>
  <c r="AE305" i="2"/>
  <c r="AI304" i="2"/>
  <c r="AH304" i="2"/>
  <c r="AG304" i="2"/>
  <c r="AF304" i="2"/>
  <c r="AE304" i="2"/>
  <c r="AI303" i="2"/>
  <c r="AH303" i="2"/>
  <c r="AG303" i="2"/>
  <c r="AF303" i="2"/>
  <c r="AE303" i="2"/>
  <c r="AI302" i="2"/>
  <c r="AH302" i="2"/>
  <c r="AG302" i="2"/>
  <c r="AF302" i="2"/>
  <c r="AE302" i="2"/>
  <c r="AI301" i="2"/>
  <c r="AH301" i="2"/>
  <c r="AG301" i="2"/>
  <c r="AF301" i="2"/>
  <c r="AE301" i="2"/>
  <c r="AI300" i="2"/>
  <c r="AH300" i="2"/>
  <c r="AG300" i="2"/>
  <c r="AF300" i="2"/>
  <c r="AE300" i="2"/>
  <c r="AI299" i="2"/>
  <c r="AH299" i="2"/>
  <c r="AG299" i="2"/>
  <c r="AF299" i="2"/>
  <c r="AE299" i="2"/>
  <c r="AI298" i="2"/>
  <c r="AH298" i="2"/>
  <c r="AG298" i="2"/>
  <c r="AF298" i="2"/>
  <c r="AE298" i="2"/>
  <c r="AI297" i="2"/>
  <c r="AH297" i="2"/>
  <c r="AG297" i="2"/>
  <c r="AF297" i="2"/>
  <c r="AE297" i="2"/>
  <c r="AI296" i="2"/>
  <c r="AH296" i="2"/>
  <c r="AG296" i="2"/>
  <c r="AF296" i="2"/>
  <c r="AE296" i="2"/>
  <c r="AI295" i="2"/>
  <c r="AH295" i="2"/>
  <c r="AG295" i="2"/>
  <c r="AF295" i="2"/>
  <c r="AE295" i="2"/>
  <c r="AI294" i="2"/>
  <c r="AH294" i="2"/>
  <c r="AG294" i="2"/>
  <c r="AF294" i="2"/>
  <c r="AE294" i="2"/>
  <c r="AI293" i="2"/>
  <c r="AH293" i="2"/>
  <c r="AG293" i="2"/>
  <c r="AF293" i="2"/>
  <c r="AE293" i="2"/>
  <c r="AI292" i="2"/>
  <c r="AH292" i="2"/>
  <c r="AG292" i="2"/>
  <c r="AF292" i="2"/>
  <c r="AE292" i="2"/>
  <c r="AI291" i="2" l="1"/>
  <c r="AH291" i="2"/>
  <c r="AG291" i="2"/>
  <c r="AF291" i="2"/>
  <c r="AE291" i="2"/>
  <c r="AI290" i="2"/>
  <c r="AH290" i="2"/>
  <c r="AG290" i="2"/>
  <c r="AF290" i="2"/>
  <c r="AE290" i="2"/>
  <c r="AI289" i="2"/>
  <c r="AH289" i="2"/>
  <c r="AG289" i="2"/>
  <c r="AF289" i="2"/>
  <c r="AE289" i="2"/>
  <c r="AI288" i="2"/>
  <c r="AH288" i="2"/>
  <c r="AG288" i="2"/>
  <c r="AF288" i="2"/>
  <c r="AE288" i="2"/>
  <c r="AI287" i="2"/>
  <c r="AH287" i="2"/>
  <c r="AG287" i="2"/>
  <c r="AF287" i="2"/>
  <c r="AE287" i="2"/>
  <c r="AI286" i="2"/>
  <c r="AH286" i="2"/>
  <c r="AG286" i="2"/>
  <c r="AF286" i="2"/>
  <c r="AE286" i="2"/>
  <c r="AI285" i="2"/>
  <c r="AH285" i="2"/>
  <c r="AG285" i="2"/>
  <c r="AF285" i="2"/>
  <c r="AE285" i="2"/>
  <c r="AI284" i="2"/>
  <c r="AH284" i="2"/>
  <c r="AG284" i="2"/>
  <c r="AF284" i="2"/>
  <c r="AE284" i="2"/>
  <c r="AI283" i="2"/>
  <c r="AH283" i="2"/>
  <c r="AG283" i="2"/>
  <c r="AF283" i="2"/>
  <c r="AE283" i="2"/>
  <c r="AI282" i="2"/>
  <c r="AH282" i="2"/>
  <c r="AG282" i="2"/>
  <c r="AF282" i="2"/>
  <c r="AE282" i="2"/>
  <c r="AI281" i="2"/>
  <c r="AH281" i="2"/>
  <c r="AG281" i="2"/>
  <c r="AF281" i="2"/>
  <c r="AE281" i="2"/>
  <c r="AI280" i="2"/>
  <c r="AH280" i="2"/>
  <c r="AG280" i="2"/>
  <c r="AF280" i="2"/>
  <c r="AE280" i="2"/>
  <c r="AI279" i="2"/>
  <c r="AH279" i="2"/>
  <c r="AG279" i="2"/>
  <c r="AF279" i="2"/>
  <c r="AE279" i="2"/>
  <c r="AI278" i="2"/>
  <c r="AH278" i="2"/>
  <c r="AG278" i="2"/>
  <c r="AF278" i="2"/>
  <c r="AE278" i="2"/>
  <c r="AI277" i="2"/>
  <c r="AH277" i="2"/>
  <c r="AG277" i="2"/>
  <c r="AF277" i="2"/>
  <c r="AE277" i="2"/>
  <c r="AI276" i="2"/>
  <c r="AH276" i="2"/>
  <c r="AG276" i="2"/>
  <c r="AF276" i="2"/>
  <c r="AE276" i="2"/>
  <c r="AI275" i="2"/>
  <c r="AH275" i="2"/>
  <c r="AG275" i="2"/>
  <c r="AF275" i="2"/>
  <c r="AE275" i="2"/>
  <c r="AI274" i="2"/>
  <c r="AH274" i="2"/>
  <c r="AG274" i="2"/>
  <c r="AF274" i="2"/>
  <c r="AE274" i="2"/>
  <c r="AI273" i="2"/>
  <c r="AH273" i="2"/>
  <c r="AG273" i="2"/>
  <c r="AF273" i="2"/>
  <c r="AE273" i="2"/>
  <c r="AI272" i="2"/>
  <c r="AH272" i="2"/>
  <c r="AG272" i="2"/>
  <c r="AF272" i="2"/>
  <c r="AE272" i="2"/>
  <c r="AI271" i="2"/>
  <c r="AH271" i="2"/>
  <c r="AG271" i="2"/>
  <c r="AF271" i="2"/>
  <c r="AE271" i="2"/>
  <c r="AI270" i="2"/>
  <c r="AH270" i="2"/>
  <c r="AG270" i="2"/>
  <c r="AF270" i="2"/>
  <c r="AE270" i="2"/>
  <c r="AI269" i="2"/>
  <c r="AH269" i="2"/>
  <c r="AG269" i="2"/>
  <c r="AF269" i="2"/>
  <c r="AE269" i="2"/>
  <c r="AI268" i="2"/>
  <c r="AH268" i="2"/>
  <c r="AG268" i="2"/>
  <c r="AF268" i="2"/>
  <c r="AE268" i="2"/>
  <c r="AI267" i="2"/>
  <c r="AH267" i="2"/>
  <c r="AG267" i="2"/>
  <c r="AF267" i="2"/>
  <c r="AE267" i="2"/>
  <c r="AI266" i="2"/>
  <c r="AH266" i="2"/>
  <c r="AG266" i="2"/>
  <c r="AF266" i="2"/>
  <c r="AE266" i="2"/>
  <c r="AI265" i="2"/>
  <c r="AH265" i="2"/>
  <c r="AG265" i="2"/>
  <c r="AF265" i="2"/>
  <c r="AE265" i="2"/>
  <c r="AI264" i="2"/>
  <c r="AH264" i="2"/>
  <c r="AG264" i="2"/>
  <c r="AF264" i="2"/>
  <c r="AE264" i="2"/>
  <c r="AI263" i="2"/>
  <c r="AH263" i="2"/>
  <c r="AG263" i="2"/>
  <c r="AF263" i="2"/>
  <c r="AE263" i="2"/>
  <c r="AI262" i="2"/>
  <c r="AH262" i="2"/>
  <c r="AG262" i="2"/>
  <c r="AF262" i="2"/>
  <c r="AE262" i="2"/>
  <c r="AI261" i="2"/>
  <c r="AH261" i="2"/>
  <c r="AG261" i="2"/>
  <c r="AF261" i="2"/>
  <c r="AE261" i="2"/>
  <c r="AI260" i="2"/>
  <c r="AH260" i="2"/>
  <c r="AG260" i="2"/>
  <c r="AF260" i="2"/>
  <c r="AE260" i="2"/>
  <c r="AI259" i="2"/>
  <c r="AH259" i="2"/>
  <c r="AG259" i="2"/>
  <c r="AF259" i="2"/>
  <c r="AE259" i="2"/>
  <c r="AI258" i="2"/>
  <c r="AH258" i="2"/>
  <c r="AG258" i="2"/>
  <c r="AF258" i="2"/>
  <c r="AE258" i="2"/>
  <c r="AI257" i="2"/>
  <c r="AH257" i="2"/>
  <c r="AG257" i="2"/>
  <c r="AF257" i="2"/>
  <c r="AE257" i="2"/>
  <c r="AI256" i="2"/>
  <c r="AH256" i="2"/>
  <c r="AG256" i="2"/>
  <c r="AF256" i="2"/>
  <c r="AE256" i="2"/>
  <c r="AI255" i="2"/>
  <c r="AH255" i="2"/>
  <c r="AG255" i="2"/>
  <c r="AF255" i="2"/>
  <c r="AE255" i="2"/>
  <c r="AI254" i="2"/>
  <c r="AH254" i="2"/>
  <c r="AG254" i="2"/>
  <c r="AF254" i="2"/>
  <c r="AE254" i="2"/>
  <c r="AI253" i="2"/>
  <c r="AH253" i="2"/>
  <c r="AG253" i="2"/>
  <c r="AF253" i="2"/>
  <c r="AE253" i="2"/>
  <c r="AI252" i="2" l="1"/>
  <c r="AH252" i="2"/>
  <c r="AG252" i="2"/>
  <c r="AF252" i="2"/>
  <c r="AE252" i="2"/>
  <c r="AI251" i="2"/>
  <c r="AH251" i="2"/>
  <c r="AG251" i="2"/>
  <c r="AF251" i="2"/>
  <c r="AE251" i="2"/>
  <c r="AI250" i="2"/>
  <c r="AH250" i="2"/>
  <c r="AG250" i="2"/>
  <c r="AF250" i="2"/>
  <c r="AE250" i="2"/>
  <c r="AI249" i="2"/>
  <c r="AH249" i="2"/>
  <c r="AG249" i="2"/>
  <c r="AF249" i="2"/>
  <c r="AE249" i="2"/>
  <c r="AI248" i="2"/>
  <c r="AH248" i="2"/>
  <c r="AG248" i="2"/>
  <c r="AF248" i="2"/>
  <c r="AE248" i="2"/>
  <c r="AI247" i="2"/>
  <c r="AH247" i="2"/>
  <c r="AG247" i="2"/>
  <c r="AF247" i="2"/>
  <c r="AE247" i="2"/>
  <c r="AI246" i="2"/>
  <c r="AH246" i="2"/>
  <c r="AG246" i="2"/>
  <c r="AF246" i="2"/>
  <c r="AE246" i="2"/>
  <c r="AI245" i="2"/>
  <c r="AH245" i="2"/>
  <c r="AG245" i="2"/>
  <c r="AF245" i="2"/>
  <c r="AE245" i="2"/>
  <c r="AI244" i="2"/>
  <c r="AH244" i="2"/>
  <c r="AG244" i="2"/>
  <c r="AF244" i="2"/>
  <c r="AE244" i="2"/>
  <c r="AI243" i="2"/>
  <c r="AH243" i="2"/>
  <c r="AG243" i="2"/>
  <c r="AF243" i="2"/>
  <c r="AE243" i="2"/>
  <c r="AI242" i="2"/>
  <c r="AH242" i="2"/>
  <c r="AG242" i="2"/>
  <c r="AF242" i="2"/>
  <c r="AE242" i="2"/>
  <c r="AI241" i="2"/>
  <c r="AH241" i="2"/>
  <c r="AG241" i="2"/>
  <c r="AF241" i="2"/>
  <c r="AE241" i="2"/>
  <c r="AI240" i="2"/>
  <c r="AH240" i="2"/>
  <c r="AG240" i="2"/>
  <c r="AF240" i="2"/>
  <c r="AE240" i="2"/>
  <c r="AI239" i="2"/>
  <c r="AH239" i="2"/>
  <c r="AG239" i="2"/>
  <c r="AF239" i="2"/>
  <c r="AE239" i="2"/>
  <c r="AI238" i="2"/>
  <c r="AH238" i="2"/>
  <c r="AG238" i="2"/>
  <c r="AF238" i="2"/>
  <c r="AE238" i="2"/>
  <c r="AI237" i="2"/>
  <c r="AH237" i="2"/>
  <c r="AG237" i="2"/>
  <c r="AF237" i="2"/>
  <c r="AE237" i="2"/>
  <c r="AI236" i="2"/>
  <c r="AH236" i="2"/>
  <c r="AG236" i="2"/>
  <c r="AF236" i="2"/>
  <c r="AE236" i="2"/>
  <c r="AI235" i="2"/>
  <c r="AH235" i="2"/>
  <c r="AG235" i="2"/>
  <c r="AF235" i="2"/>
  <c r="AE235" i="2"/>
  <c r="AI234" i="2"/>
  <c r="AH234" i="2"/>
  <c r="AG234" i="2"/>
  <c r="AF234" i="2"/>
  <c r="AE234" i="2"/>
  <c r="AI233" i="2"/>
  <c r="AH233" i="2"/>
  <c r="AG233" i="2"/>
  <c r="AF233" i="2"/>
  <c r="AE233" i="2"/>
  <c r="AI232" i="2"/>
  <c r="AH232" i="2"/>
  <c r="AG232" i="2"/>
  <c r="AF232" i="2"/>
  <c r="AE232" i="2"/>
  <c r="AI231" i="2"/>
  <c r="AH231" i="2"/>
  <c r="AG231" i="2"/>
  <c r="AF231" i="2"/>
  <c r="AE231" i="2"/>
  <c r="AI230" i="2"/>
  <c r="AH230" i="2"/>
  <c r="AG230" i="2"/>
  <c r="AF230" i="2"/>
  <c r="AE230" i="2"/>
  <c r="AI229" i="2"/>
  <c r="AH229" i="2"/>
  <c r="AG229" i="2"/>
  <c r="AF229" i="2"/>
  <c r="AE229" i="2"/>
  <c r="AI228" i="2"/>
  <c r="AH228" i="2"/>
  <c r="AG228" i="2"/>
  <c r="AF228" i="2"/>
  <c r="AE228" i="2"/>
  <c r="AI227" i="2"/>
  <c r="AH227" i="2"/>
  <c r="AG227" i="2"/>
  <c r="AF227" i="2"/>
  <c r="AE227" i="2"/>
  <c r="AI226" i="2"/>
  <c r="AH226" i="2"/>
  <c r="AG226" i="2"/>
  <c r="AF226" i="2"/>
  <c r="AE226" i="2"/>
  <c r="AI225" i="2"/>
  <c r="AH225" i="2"/>
  <c r="AG225" i="2"/>
  <c r="AF225" i="2"/>
  <c r="AE225" i="2"/>
  <c r="AI224" i="2"/>
  <c r="AH224" i="2"/>
  <c r="AG224" i="2"/>
  <c r="AF224" i="2"/>
  <c r="AE224" i="2"/>
  <c r="AI223" i="2"/>
  <c r="AH223" i="2"/>
  <c r="AG223" i="2"/>
  <c r="AF223" i="2"/>
  <c r="AE223" i="2"/>
  <c r="AI222" i="2"/>
  <c r="AH222" i="2"/>
  <c r="AG222" i="2"/>
  <c r="AF222" i="2"/>
  <c r="AE222" i="2"/>
  <c r="AI221" i="2"/>
  <c r="AH221" i="2"/>
  <c r="AG221" i="2"/>
  <c r="AF221" i="2"/>
  <c r="AE221" i="2"/>
  <c r="AI220" i="2"/>
  <c r="AH220" i="2"/>
  <c r="AG220" i="2"/>
  <c r="AF220" i="2"/>
  <c r="AE220" i="2"/>
  <c r="AI219" i="2"/>
  <c r="AH219" i="2"/>
  <c r="AG219" i="2"/>
  <c r="AF219" i="2"/>
  <c r="AE219" i="2"/>
  <c r="AI218" i="2"/>
  <c r="AH218" i="2"/>
  <c r="AG218" i="2"/>
  <c r="AF218" i="2"/>
  <c r="AE218" i="2"/>
  <c r="AI217" i="2"/>
  <c r="AH217" i="2"/>
  <c r="AG217" i="2"/>
  <c r="AF217" i="2"/>
  <c r="AE217" i="2"/>
  <c r="AI216" i="2" l="1"/>
  <c r="AH216" i="2"/>
  <c r="AG216" i="2"/>
  <c r="AF216" i="2"/>
  <c r="AE216" i="2"/>
  <c r="AI215" i="2"/>
  <c r="AH215" i="2"/>
  <c r="AG215" i="2"/>
  <c r="AF215" i="2"/>
  <c r="AE215" i="2"/>
  <c r="AI214" i="2"/>
  <c r="AH214" i="2"/>
  <c r="AG214" i="2"/>
  <c r="AF214" i="2"/>
  <c r="AE214" i="2"/>
  <c r="AI213" i="2"/>
  <c r="AH213" i="2"/>
  <c r="AG213" i="2"/>
  <c r="AF213" i="2"/>
  <c r="AE213" i="2"/>
  <c r="AI212" i="2"/>
  <c r="AH212" i="2"/>
  <c r="AG212" i="2"/>
  <c r="AF212" i="2"/>
  <c r="AE212" i="2"/>
  <c r="AI211" i="2"/>
  <c r="AH211" i="2"/>
  <c r="AG211" i="2"/>
  <c r="AF211" i="2"/>
  <c r="AE211" i="2"/>
  <c r="AI210" i="2"/>
  <c r="AH210" i="2"/>
  <c r="AG210" i="2"/>
  <c r="AF210" i="2"/>
  <c r="AE210" i="2"/>
  <c r="AI209" i="2"/>
  <c r="AH209" i="2"/>
  <c r="AG209" i="2"/>
  <c r="AF209" i="2"/>
  <c r="AE209" i="2"/>
  <c r="AI208" i="2"/>
  <c r="AH208" i="2"/>
  <c r="AG208" i="2"/>
  <c r="AF208" i="2"/>
  <c r="AE208" i="2"/>
  <c r="AI207" i="2"/>
  <c r="AH207" i="2"/>
  <c r="AG207" i="2"/>
  <c r="AF207" i="2"/>
  <c r="AE207" i="2"/>
  <c r="AI206" i="2"/>
  <c r="AH206" i="2"/>
  <c r="AG206" i="2"/>
  <c r="AF206" i="2"/>
  <c r="AE206" i="2"/>
  <c r="AI205" i="2"/>
  <c r="AH205" i="2"/>
  <c r="AG205" i="2"/>
  <c r="AF205" i="2"/>
  <c r="AE205" i="2"/>
  <c r="AI204" i="2"/>
  <c r="AH204" i="2"/>
  <c r="AG204" i="2"/>
  <c r="AF204" i="2"/>
  <c r="AE204" i="2"/>
  <c r="AI203" i="2"/>
  <c r="AH203" i="2"/>
  <c r="AG203" i="2"/>
  <c r="AF203" i="2"/>
  <c r="AE203" i="2"/>
  <c r="AI202" i="2"/>
  <c r="AH202" i="2"/>
  <c r="AG202" i="2"/>
  <c r="AF202" i="2"/>
  <c r="AE202" i="2"/>
  <c r="AI201" i="2"/>
  <c r="AH201" i="2"/>
  <c r="AG201" i="2"/>
  <c r="AF201" i="2"/>
  <c r="AE201" i="2"/>
  <c r="AI200" i="2"/>
  <c r="AH200" i="2"/>
  <c r="AG200" i="2"/>
  <c r="AF200" i="2"/>
  <c r="AE200" i="2"/>
  <c r="AI199" i="2"/>
  <c r="AH199" i="2"/>
  <c r="AG199" i="2"/>
  <c r="AF199" i="2"/>
  <c r="AE199" i="2"/>
  <c r="AI198" i="2"/>
  <c r="AH198" i="2"/>
  <c r="AG198" i="2"/>
  <c r="AF198" i="2"/>
  <c r="AE198" i="2"/>
  <c r="AI197" i="2"/>
  <c r="AH197" i="2"/>
  <c r="AG197" i="2"/>
  <c r="AF197" i="2"/>
  <c r="AE197" i="2"/>
  <c r="AI196" i="2"/>
  <c r="AH196" i="2"/>
  <c r="AG196" i="2"/>
  <c r="AF196" i="2"/>
  <c r="AE196" i="2"/>
  <c r="AI195" i="2" l="1"/>
  <c r="AH195" i="2"/>
  <c r="AG195" i="2"/>
  <c r="AF195" i="2"/>
  <c r="AE195" i="2"/>
  <c r="AI194" i="2"/>
  <c r="AH194" i="2"/>
  <c r="AG194" i="2"/>
  <c r="AF194" i="2"/>
  <c r="AE194" i="2"/>
  <c r="AI193" i="2"/>
  <c r="AH193" i="2"/>
  <c r="AG193" i="2"/>
  <c r="AF193" i="2"/>
  <c r="AE193" i="2"/>
  <c r="AI192" i="2"/>
  <c r="AH192" i="2"/>
  <c r="AG192" i="2"/>
  <c r="AF192" i="2"/>
  <c r="AE192" i="2"/>
  <c r="AI191" i="2"/>
  <c r="AH191" i="2"/>
  <c r="AG191" i="2"/>
  <c r="AF191" i="2"/>
  <c r="AE191" i="2"/>
  <c r="AI190" i="2"/>
  <c r="AH190" i="2"/>
  <c r="AG190" i="2"/>
  <c r="AF190" i="2"/>
  <c r="AE190" i="2"/>
  <c r="AI189" i="2"/>
  <c r="AH189" i="2"/>
  <c r="AG189" i="2"/>
  <c r="AF189" i="2"/>
  <c r="AE189" i="2"/>
  <c r="AI188" i="2"/>
  <c r="AH188" i="2"/>
  <c r="AG188" i="2"/>
  <c r="AF188" i="2"/>
  <c r="AE188" i="2"/>
  <c r="AI187" i="2"/>
  <c r="AH187" i="2"/>
  <c r="AG187" i="2"/>
  <c r="AF187" i="2"/>
  <c r="AE187" i="2"/>
  <c r="AI186" i="2"/>
  <c r="AH186" i="2"/>
  <c r="AG186" i="2"/>
  <c r="AF186" i="2"/>
  <c r="AE186" i="2"/>
  <c r="AI185" i="2"/>
  <c r="AH185" i="2"/>
  <c r="AG185" i="2"/>
  <c r="AF185" i="2"/>
  <c r="AE185" i="2"/>
  <c r="AI184" i="2"/>
  <c r="AH184" i="2"/>
  <c r="AG184" i="2"/>
  <c r="AF184" i="2"/>
  <c r="AE184" i="2"/>
  <c r="AI183" i="2"/>
  <c r="AH183" i="2"/>
  <c r="AG183" i="2"/>
  <c r="AF183" i="2"/>
  <c r="AE183" i="2"/>
  <c r="AI182" i="2"/>
  <c r="AH182" i="2"/>
  <c r="AG182" i="2"/>
  <c r="AF182" i="2"/>
  <c r="AE182" i="2"/>
  <c r="AI181" i="2"/>
  <c r="AH181" i="2"/>
  <c r="AG181" i="2"/>
  <c r="AF181" i="2"/>
  <c r="AE181" i="2"/>
  <c r="AI180" i="2"/>
  <c r="AH180" i="2"/>
  <c r="AG180" i="2"/>
  <c r="AF180" i="2"/>
  <c r="AE180" i="2"/>
  <c r="AI179" i="2"/>
  <c r="AH179" i="2"/>
  <c r="AG179" i="2"/>
  <c r="AF179" i="2"/>
  <c r="AE179" i="2"/>
  <c r="AI178" i="2"/>
  <c r="AH178" i="2"/>
  <c r="AG178" i="2"/>
  <c r="AF178" i="2"/>
  <c r="AE178" i="2"/>
  <c r="AI177" i="2"/>
  <c r="AH177" i="2"/>
  <c r="AG177" i="2"/>
  <c r="AF177" i="2"/>
  <c r="AE177" i="2"/>
  <c r="AI176" i="2"/>
  <c r="AH176" i="2"/>
  <c r="AG176" i="2"/>
  <c r="AF176" i="2"/>
  <c r="AE176" i="2"/>
  <c r="AI175" i="2"/>
  <c r="AH175" i="2"/>
  <c r="AG175" i="2"/>
  <c r="AF175" i="2"/>
  <c r="AE175" i="2"/>
  <c r="AI174" i="2"/>
  <c r="AH174" i="2"/>
  <c r="AG174" i="2"/>
  <c r="AF174" i="2"/>
  <c r="AE174" i="2"/>
  <c r="AI173" i="2"/>
  <c r="AH173" i="2"/>
  <c r="AG173" i="2"/>
  <c r="AF173" i="2"/>
  <c r="AE173" i="2"/>
  <c r="AI172" i="2"/>
  <c r="AH172" i="2"/>
  <c r="AG172" i="2"/>
  <c r="AF172" i="2"/>
  <c r="AE172" i="2"/>
  <c r="AI171" i="2"/>
  <c r="AH171" i="2"/>
  <c r="AG171" i="2"/>
  <c r="AF171" i="2"/>
  <c r="AE171" i="2"/>
  <c r="AI170" i="2"/>
  <c r="AH170" i="2"/>
  <c r="AG170" i="2"/>
  <c r="AF170" i="2"/>
  <c r="AE170" i="2"/>
  <c r="AI169" i="2"/>
  <c r="AH169" i="2"/>
  <c r="AG169" i="2"/>
  <c r="AF169" i="2"/>
  <c r="AE169" i="2"/>
  <c r="AI168" i="2"/>
  <c r="AH168" i="2"/>
  <c r="AG168" i="2"/>
  <c r="AF168" i="2"/>
  <c r="AE168" i="2"/>
  <c r="AI167" i="2"/>
  <c r="AH167" i="2"/>
  <c r="AG167" i="2"/>
  <c r="AF167" i="2"/>
  <c r="AE167" i="2"/>
  <c r="AI166" i="2"/>
  <c r="AH166" i="2"/>
  <c r="AG166" i="2"/>
  <c r="AF166" i="2"/>
  <c r="AE166" i="2"/>
  <c r="AI165" i="2"/>
  <c r="AH165" i="2"/>
  <c r="AG165" i="2"/>
  <c r="AF165" i="2"/>
  <c r="AE165" i="2"/>
  <c r="AI164" i="2"/>
  <c r="AH164" i="2"/>
  <c r="AG164" i="2"/>
  <c r="AF164" i="2"/>
  <c r="AE164" i="2"/>
  <c r="AI163" i="2"/>
  <c r="AH163" i="2"/>
  <c r="AG163" i="2"/>
  <c r="AF163" i="2"/>
  <c r="AE163" i="2"/>
  <c r="AI162" i="2"/>
  <c r="AH162" i="2"/>
  <c r="AG162" i="2"/>
  <c r="AF162" i="2"/>
  <c r="AE162" i="2"/>
  <c r="AI161" i="2"/>
  <c r="AH161" i="2"/>
  <c r="AG161" i="2"/>
  <c r="AF161" i="2"/>
  <c r="AE161" i="2"/>
  <c r="AI160" i="2"/>
  <c r="AH160" i="2"/>
  <c r="AG160" i="2"/>
  <c r="AF160" i="2"/>
  <c r="AE160" i="2"/>
  <c r="AI159" i="2"/>
  <c r="AH159" i="2"/>
  <c r="AG159" i="2"/>
  <c r="AF159" i="2"/>
  <c r="AE159" i="2"/>
  <c r="AI158" i="2"/>
  <c r="AH158" i="2"/>
  <c r="AG158" i="2"/>
  <c r="AF158" i="2"/>
  <c r="AE158" i="2"/>
  <c r="AI157" i="2" l="1"/>
  <c r="AH157" i="2"/>
  <c r="AG157" i="2"/>
  <c r="AF157" i="2"/>
  <c r="AE157" i="2"/>
  <c r="AI156" i="2"/>
  <c r="AH156" i="2"/>
  <c r="AG156" i="2"/>
  <c r="AF156" i="2"/>
  <c r="AE156" i="2"/>
  <c r="AI155" i="2"/>
  <c r="AH155" i="2"/>
  <c r="AG155" i="2"/>
  <c r="AF155" i="2"/>
  <c r="AE155" i="2"/>
  <c r="AI154" i="2"/>
  <c r="AH154" i="2"/>
  <c r="AG154" i="2"/>
  <c r="AF154" i="2"/>
  <c r="AE154" i="2"/>
  <c r="AI153" i="2"/>
  <c r="AH153" i="2"/>
  <c r="AG153" i="2"/>
  <c r="AF153" i="2"/>
  <c r="AE153" i="2"/>
  <c r="AI152" i="2"/>
  <c r="AH152" i="2"/>
  <c r="AG152" i="2"/>
  <c r="AF152" i="2"/>
  <c r="AE152" i="2"/>
  <c r="AI151" i="2"/>
  <c r="AH151" i="2"/>
  <c r="AG151" i="2"/>
  <c r="AF151" i="2"/>
  <c r="AE151" i="2"/>
  <c r="AI150" i="2"/>
  <c r="AH150" i="2"/>
  <c r="AG150" i="2"/>
  <c r="AF150" i="2"/>
  <c r="AE150" i="2"/>
  <c r="AI149" i="2"/>
  <c r="AH149" i="2"/>
  <c r="AG149" i="2"/>
  <c r="AF149" i="2"/>
  <c r="AE149" i="2"/>
  <c r="AI148" i="2"/>
  <c r="AH148" i="2"/>
  <c r="AG148" i="2"/>
  <c r="AF148" i="2"/>
  <c r="AE148" i="2"/>
  <c r="AI147" i="2"/>
  <c r="AH147" i="2"/>
  <c r="AG147" i="2"/>
  <c r="AF147" i="2"/>
  <c r="AE147" i="2"/>
  <c r="AI146" i="2"/>
  <c r="AH146" i="2"/>
  <c r="AG146" i="2"/>
  <c r="AF146" i="2"/>
  <c r="AE146" i="2"/>
  <c r="AI145" i="2"/>
  <c r="AH145" i="2"/>
  <c r="AG145" i="2"/>
  <c r="AF145" i="2"/>
  <c r="AE145" i="2"/>
  <c r="AI144" i="2"/>
  <c r="AH144" i="2"/>
  <c r="AG144" i="2"/>
  <c r="AF144" i="2"/>
  <c r="AE144" i="2"/>
  <c r="AI143" i="2"/>
  <c r="AH143" i="2"/>
  <c r="AG143" i="2"/>
  <c r="AF143" i="2"/>
  <c r="AE143" i="2"/>
  <c r="AI142" i="2"/>
  <c r="AH142" i="2"/>
  <c r="AG142" i="2"/>
  <c r="AF142" i="2"/>
  <c r="AE142" i="2"/>
  <c r="AI141" i="2"/>
  <c r="AH141" i="2"/>
  <c r="AG141" i="2"/>
  <c r="AF141" i="2"/>
  <c r="AE141" i="2"/>
  <c r="AI140" i="2"/>
  <c r="AH140" i="2"/>
  <c r="AG140" i="2"/>
  <c r="AF140" i="2"/>
  <c r="AE140" i="2"/>
  <c r="AI139" i="2"/>
  <c r="AH139" i="2"/>
  <c r="AG139" i="2"/>
  <c r="AF139" i="2"/>
  <c r="AE139" i="2"/>
  <c r="AI138" i="2"/>
  <c r="AH138" i="2"/>
  <c r="AG138" i="2"/>
  <c r="AF138" i="2"/>
  <c r="AE138" i="2"/>
  <c r="AI137" i="2"/>
  <c r="AH137" i="2"/>
  <c r="AG137" i="2"/>
  <c r="AF137" i="2"/>
  <c r="AE137" i="2"/>
  <c r="AI136" i="2"/>
  <c r="AH136" i="2"/>
  <c r="AG136" i="2"/>
  <c r="AF136" i="2"/>
  <c r="AE136" i="2"/>
  <c r="AI135" i="2"/>
  <c r="AH135" i="2"/>
  <c r="AG135" i="2"/>
  <c r="AF135" i="2"/>
  <c r="AE135" i="2"/>
  <c r="AI134" i="2"/>
  <c r="AH134" i="2"/>
  <c r="AG134" i="2"/>
  <c r="AF134" i="2"/>
  <c r="AE134" i="2"/>
  <c r="AI133" i="2"/>
  <c r="AH133" i="2"/>
  <c r="AG133" i="2"/>
  <c r="AF133" i="2"/>
  <c r="AE133" i="2"/>
  <c r="AI132" i="2"/>
  <c r="AH132" i="2"/>
  <c r="AG132" i="2"/>
  <c r="AF132" i="2"/>
  <c r="AE132" i="2"/>
  <c r="AI131" i="2"/>
  <c r="AH131" i="2"/>
  <c r="AG131" i="2"/>
  <c r="AF131" i="2"/>
  <c r="AE131" i="2"/>
  <c r="AI130" i="2"/>
  <c r="AH130" i="2"/>
  <c r="AG130" i="2"/>
  <c r="AF130" i="2"/>
  <c r="AE130" i="2"/>
  <c r="AI129" i="2"/>
  <c r="AH129" i="2"/>
  <c r="AG129" i="2"/>
  <c r="AF129" i="2"/>
  <c r="AE129" i="2"/>
  <c r="AI128" i="2"/>
  <c r="AH128" i="2"/>
  <c r="AG128" i="2"/>
  <c r="AF128" i="2"/>
  <c r="AE128" i="2"/>
  <c r="AI127" i="2"/>
  <c r="AH127" i="2"/>
  <c r="AG127" i="2"/>
  <c r="AF127" i="2"/>
  <c r="AE127" i="2"/>
  <c r="AI126" i="2"/>
  <c r="AH126" i="2"/>
  <c r="AG126" i="2"/>
  <c r="AF126" i="2"/>
  <c r="AE126" i="2"/>
  <c r="AI125" i="2" l="1"/>
  <c r="AH125" i="2"/>
  <c r="AG125" i="2"/>
  <c r="AF125" i="2"/>
  <c r="AE125" i="2"/>
  <c r="AI124" i="2"/>
  <c r="AH124" i="2"/>
  <c r="AG124" i="2"/>
  <c r="AF124" i="2"/>
  <c r="AE124" i="2"/>
  <c r="AI123" i="2"/>
  <c r="AH123" i="2"/>
  <c r="AG123" i="2"/>
  <c r="AF123" i="2"/>
  <c r="AE123" i="2"/>
  <c r="AI122" i="2"/>
  <c r="AH122" i="2"/>
  <c r="AG122" i="2"/>
  <c r="AF122" i="2"/>
  <c r="AE122" i="2"/>
  <c r="AI121" i="2"/>
  <c r="AH121" i="2"/>
  <c r="AG121" i="2"/>
  <c r="AF121" i="2"/>
  <c r="AE121" i="2"/>
  <c r="AI120" i="2"/>
  <c r="AH120" i="2"/>
  <c r="AG120" i="2"/>
  <c r="AF120" i="2"/>
  <c r="AE120" i="2"/>
  <c r="AI119" i="2"/>
  <c r="AH119" i="2"/>
  <c r="AG119" i="2"/>
  <c r="AF119" i="2"/>
  <c r="AE119" i="2"/>
  <c r="AI118" i="2"/>
  <c r="AH118" i="2"/>
  <c r="AG118" i="2"/>
  <c r="AF118" i="2"/>
  <c r="AE118" i="2"/>
  <c r="AI117" i="2"/>
  <c r="AH117" i="2"/>
  <c r="AG117" i="2"/>
  <c r="AF117" i="2"/>
  <c r="AE117" i="2"/>
  <c r="AI116" i="2"/>
  <c r="AH116" i="2"/>
  <c r="AG116" i="2"/>
  <c r="AF116" i="2"/>
  <c r="AE116" i="2"/>
  <c r="AI115" i="2"/>
  <c r="AH115" i="2"/>
  <c r="AG115" i="2"/>
  <c r="AF115" i="2"/>
  <c r="AE115" i="2"/>
  <c r="AI114" i="2"/>
  <c r="AH114" i="2"/>
  <c r="AG114" i="2"/>
  <c r="AF114" i="2"/>
  <c r="AE114" i="2"/>
  <c r="AI113" i="2"/>
  <c r="AH113" i="2"/>
  <c r="AG113" i="2"/>
  <c r="AF113" i="2"/>
  <c r="AE113" i="2"/>
  <c r="AI112" i="2"/>
  <c r="AH112" i="2"/>
  <c r="AG112" i="2"/>
  <c r="AF112" i="2"/>
  <c r="AE112" i="2"/>
  <c r="AI111" i="2"/>
  <c r="AH111" i="2"/>
  <c r="AG111" i="2"/>
  <c r="AF111" i="2"/>
  <c r="AE111" i="2"/>
  <c r="AI110" i="2"/>
  <c r="AH110" i="2"/>
  <c r="AG110" i="2"/>
  <c r="AF110" i="2"/>
  <c r="AE110" i="2"/>
  <c r="AI109" i="2"/>
  <c r="AH109" i="2"/>
  <c r="AG109" i="2"/>
  <c r="AF109" i="2"/>
  <c r="AE109" i="2"/>
  <c r="AI108" i="2"/>
  <c r="AH108" i="2"/>
  <c r="AG108" i="2"/>
  <c r="AF108" i="2"/>
  <c r="AE108" i="2"/>
  <c r="AI107" i="2"/>
  <c r="AH107" i="2"/>
  <c r="AG107" i="2"/>
  <c r="AF107" i="2"/>
  <c r="AE107" i="2"/>
  <c r="AI106" i="2"/>
  <c r="AH106" i="2"/>
  <c r="AG106" i="2"/>
  <c r="AF106" i="2"/>
  <c r="AE106" i="2"/>
  <c r="AI105" i="2"/>
  <c r="AH105" i="2"/>
  <c r="AG105" i="2"/>
  <c r="AF105" i="2"/>
  <c r="AE105" i="2"/>
  <c r="AI104" i="2"/>
  <c r="AH104" i="2"/>
  <c r="AG104" i="2"/>
  <c r="AF104" i="2"/>
  <c r="AE104" i="2"/>
  <c r="AI103" i="2"/>
  <c r="AH103" i="2"/>
  <c r="AG103" i="2"/>
  <c r="AF103" i="2"/>
  <c r="AE103" i="2"/>
  <c r="AI102" i="2"/>
  <c r="AH102" i="2"/>
  <c r="AG102" i="2"/>
  <c r="AF102" i="2"/>
  <c r="AE102" i="2"/>
  <c r="AI101" i="2"/>
  <c r="AH101" i="2"/>
  <c r="AG101" i="2"/>
  <c r="AF101" i="2"/>
  <c r="AE101" i="2"/>
  <c r="AI100" i="2"/>
  <c r="AH100" i="2"/>
  <c r="AG100" i="2"/>
  <c r="AF100" i="2"/>
  <c r="AE100" i="2"/>
  <c r="AI99" i="2"/>
  <c r="AH99" i="2"/>
  <c r="AG99" i="2"/>
  <c r="AF99" i="2"/>
  <c r="AE99" i="2"/>
  <c r="AI98" i="2"/>
  <c r="AH98" i="2"/>
  <c r="AG98" i="2"/>
  <c r="AF98" i="2"/>
  <c r="AE98" i="2"/>
  <c r="AI97" i="2"/>
  <c r="AH97" i="2"/>
  <c r="AG97" i="2"/>
  <c r="AF97" i="2"/>
  <c r="AE97" i="2"/>
  <c r="AI96" i="2"/>
  <c r="AH96" i="2"/>
  <c r="AG96" i="2"/>
  <c r="AF96" i="2"/>
  <c r="AE96" i="2"/>
  <c r="AI95" i="2"/>
  <c r="AH95" i="2"/>
  <c r="AG95" i="2"/>
  <c r="AF95" i="2"/>
  <c r="AE95" i="2"/>
  <c r="AI94" i="2"/>
  <c r="AH94" i="2"/>
  <c r="AG94" i="2"/>
  <c r="AF94" i="2"/>
  <c r="AE94" i="2"/>
  <c r="AI93" i="2"/>
  <c r="AH93" i="2"/>
  <c r="AG93" i="2"/>
  <c r="AF93" i="2"/>
  <c r="AE93" i="2"/>
  <c r="AI92" i="2"/>
  <c r="AH92" i="2"/>
  <c r="AG92" i="2"/>
  <c r="AF92" i="2"/>
  <c r="AE92" i="2"/>
  <c r="AI91" i="2"/>
  <c r="AH91" i="2"/>
  <c r="AG91" i="2"/>
  <c r="AF91" i="2"/>
  <c r="AE91" i="2"/>
  <c r="AI90" i="2"/>
  <c r="AH90" i="2"/>
  <c r="AG90" i="2"/>
  <c r="AF90" i="2"/>
  <c r="AE90" i="2"/>
  <c r="AI89" i="2"/>
  <c r="AH89" i="2"/>
  <c r="AG89" i="2"/>
  <c r="AF89" i="2"/>
  <c r="AE89" i="2"/>
  <c r="AI88" i="2"/>
  <c r="AH88" i="2"/>
  <c r="AG88" i="2"/>
  <c r="AF88" i="2"/>
  <c r="AE88" i="2"/>
  <c r="AI31" i="2" l="1"/>
  <c r="AH31" i="2"/>
  <c r="AG31" i="2"/>
  <c r="AF31" i="2"/>
  <c r="AE31" i="2"/>
  <c r="AI30" i="2"/>
  <c r="AH30" i="2"/>
  <c r="AG30" i="2"/>
  <c r="AF30" i="2"/>
  <c r="AE30" i="2"/>
  <c r="AI29" i="2"/>
  <c r="AH29" i="2"/>
  <c r="AG29" i="2"/>
  <c r="AF29" i="2"/>
  <c r="AE29" i="2"/>
  <c r="AI28" i="2"/>
  <c r="AH28" i="2"/>
  <c r="AG28" i="2"/>
  <c r="AF28" i="2"/>
  <c r="AE28" i="2"/>
  <c r="AI27" i="2"/>
  <c r="AH27" i="2"/>
  <c r="AG27" i="2"/>
  <c r="AF27" i="2"/>
  <c r="AE27" i="2"/>
  <c r="AI26" i="2"/>
  <c r="AH26" i="2"/>
  <c r="AG26" i="2"/>
  <c r="AF26" i="2"/>
  <c r="AE26" i="2"/>
  <c r="AI25" i="2"/>
  <c r="AH25" i="2"/>
  <c r="AG25" i="2"/>
  <c r="AF25" i="2"/>
  <c r="AE25" i="2"/>
  <c r="AI24" i="2"/>
  <c r="AH24" i="2"/>
  <c r="AG24" i="2"/>
  <c r="AF24" i="2"/>
  <c r="AE24" i="2"/>
  <c r="AI23" i="2"/>
  <c r="AH23" i="2"/>
  <c r="AG23" i="2"/>
  <c r="AF23" i="2"/>
  <c r="AE23" i="2"/>
  <c r="AI22" i="2"/>
  <c r="AH22" i="2"/>
  <c r="AG22" i="2"/>
  <c r="AF22" i="2"/>
  <c r="AE22" i="2"/>
  <c r="AI21" i="2"/>
  <c r="AH21" i="2"/>
  <c r="AG21" i="2"/>
  <c r="AF21" i="2"/>
  <c r="AE21" i="2"/>
  <c r="AI20" i="2"/>
  <c r="AH20" i="2"/>
  <c r="AG20" i="2"/>
  <c r="AF20" i="2"/>
  <c r="AE20" i="2"/>
  <c r="AI19" i="2"/>
  <c r="AH19" i="2"/>
  <c r="AG19" i="2"/>
  <c r="AF19" i="2"/>
  <c r="AE19" i="2"/>
  <c r="AI18" i="2"/>
  <c r="AH18" i="2"/>
  <c r="AG18" i="2"/>
  <c r="AF18" i="2"/>
  <c r="AE18" i="2"/>
  <c r="AI87" i="2"/>
  <c r="AH87" i="2"/>
  <c r="AG87" i="2"/>
  <c r="AF87" i="2"/>
  <c r="AE87" i="2"/>
  <c r="AI86" i="2"/>
  <c r="AH86" i="2"/>
  <c r="AG86" i="2"/>
  <c r="AF86" i="2"/>
  <c r="AE86" i="2"/>
  <c r="AI85" i="2"/>
  <c r="AH85" i="2"/>
  <c r="AG85" i="2"/>
  <c r="AF85" i="2"/>
  <c r="AE85" i="2"/>
  <c r="AI84" i="2"/>
  <c r="AH84" i="2"/>
  <c r="AG84" i="2"/>
  <c r="AF84" i="2"/>
  <c r="AE84" i="2"/>
  <c r="AI83" i="2"/>
  <c r="AH83" i="2"/>
  <c r="AG83" i="2"/>
  <c r="AF83" i="2"/>
  <c r="AE83" i="2"/>
  <c r="AI82" i="2"/>
  <c r="AH82" i="2"/>
  <c r="AG82" i="2"/>
  <c r="AF82" i="2"/>
  <c r="AE82" i="2"/>
  <c r="AI81" i="2"/>
  <c r="AH81" i="2"/>
  <c r="AG81" i="2"/>
  <c r="AF81" i="2"/>
  <c r="AE81" i="2"/>
  <c r="AI80" i="2"/>
  <c r="AH80" i="2"/>
  <c r="AG80" i="2"/>
  <c r="AF80" i="2"/>
  <c r="AE80" i="2"/>
  <c r="AI79" i="2"/>
  <c r="AH79" i="2"/>
  <c r="AG79" i="2"/>
  <c r="AF79" i="2"/>
  <c r="AE79" i="2"/>
  <c r="AI78" i="2"/>
  <c r="AH78" i="2"/>
  <c r="AG78" i="2"/>
  <c r="AF78" i="2"/>
  <c r="AE78" i="2"/>
  <c r="AI77" i="2"/>
  <c r="AH77" i="2"/>
  <c r="AG77" i="2"/>
  <c r="AF77" i="2"/>
  <c r="AE77" i="2"/>
  <c r="AI76" i="2"/>
  <c r="AH76" i="2"/>
  <c r="AG76" i="2"/>
  <c r="AF76" i="2"/>
  <c r="AE76" i="2"/>
  <c r="AI75" i="2"/>
  <c r="AH75" i="2"/>
  <c r="AG75" i="2"/>
  <c r="AF75" i="2"/>
  <c r="AE75" i="2"/>
  <c r="AI74" i="2"/>
  <c r="AH74" i="2"/>
  <c r="AG74" i="2"/>
  <c r="AF74" i="2"/>
  <c r="AE74" i="2"/>
  <c r="AI73" i="2"/>
  <c r="AH73" i="2"/>
  <c r="AG73" i="2"/>
  <c r="AF73" i="2"/>
  <c r="AE73" i="2"/>
  <c r="AI72" i="2"/>
  <c r="AH72" i="2"/>
  <c r="AG72" i="2"/>
  <c r="AF72" i="2"/>
  <c r="AE72" i="2"/>
  <c r="AI71" i="2"/>
  <c r="AH71" i="2"/>
  <c r="AG71" i="2"/>
  <c r="AF71" i="2"/>
  <c r="AE71" i="2"/>
  <c r="AI70" i="2"/>
  <c r="AH70" i="2"/>
  <c r="AG70" i="2"/>
  <c r="AF70" i="2"/>
  <c r="AE70" i="2"/>
  <c r="AI69" i="2"/>
  <c r="AH69" i="2"/>
  <c r="AG69" i="2"/>
  <c r="AF69" i="2"/>
  <c r="AE69" i="2"/>
  <c r="AI68" i="2"/>
  <c r="AH68" i="2"/>
  <c r="AG68" i="2"/>
  <c r="AF68" i="2"/>
  <c r="AE68" i="2"/>
  <c r="AI67" i="2"/>
  <c r="AH67" i="2"/>
  <c r="AG67" i="2"/>
  <c r="AF67" i="2"/>
  <c r="AE67" i="2"/>
  <c r="AI66" i="2"/>
  <c r="AH66" i="2"/>
  <c r="AG66" i="2"/>
  <c r="AF66" i="2"/>
  <c r="AE66" i="2"/>
  <c r="AI65" i="2"/>
  <c r="AH65" i="2"/>
  <c r="AG65" i="2"/>
  <c r="AF65" i="2"/>
  <c r="AE65" i="2"/>
  <c r="AI64" i="2"/>
  <c r="AH64" i="2"/>
  <c r="AG64" i="2"/>
  <c r="AF64" i="2"/>
  <c r="AE64" i="2"/>
  <c r="AI63" i="2"/>
  <c r="AH63" i="2"/>
  <c r="AG63" i="2"/>
  <c r="AF63" i="2"/>
  <c r="AE63" i="2"/>
  <c r="AI62" i="2"/>
  <c r="AH62" i="2"/>
  <c r="AG62" i="2"/>
  <c r="AF62" i="2"/>
  <c r="AE62" i="2"/>
  <c r="AI61" i="2"/>
  <c r="AH61" i="2"/>
  <c r="AG61" i="2"/>
  <c r="AF61" i="2"/>
  <c r="AE61" i="2"/>
  <c r="AI60" i="2"/>
  <c r="AH60" i="2"/>
  <c r="AG60" i="2"/>
  <c r="AF60" i="2"/>
  <c r="AE60" i="2"/>
  <c r="AI59" i="2"/>
  <c r="AH59" i="2"/>
  <c r="AG59" i="2"/>
  <c r="AF59" i="2"/>
  <c r="AE59" i="2"/>
  <c r="AI58" i="2"/>
  <c r="AH58" i="2"/>
  <c r="AG58" i="2"/>
  <c r="AF58" i="2"/>
  <c r="AE58" i="2"/>
  <c r="AI57" i="2"/>
  <c r="AH57" i="2"/>
  <c r="AG57" i="2"/>
  <c r="AF57" i="2"/>
  <c r="AE57" i="2"/>
  <c r="AI56" i="2"/>
  <c r="AH56" i="2"/>
  <c r="AG56" i="2"/>
  <c r="AF56" i="2"/>
  <c r="AE56" i="2"/>
  <c r="AI55" i="2"/>
  <c r="AH55" i="2"/>
  <c r="AG55" i="2"/>
  <c r="AF55" i="2"/>
  <c r="AE55" i="2"/>
  <c r="AE32" i="2"/>
  <c r="AF32" i="2"/>
  <c r="AG32" i="2"/>
  <c r="AH32" i="2"/>
  <c r="AI32" i="2"/>
  <c r="O407" i="2"/>
  <c r="N407" i="2"/>
  <c r="O406" i="2"/>
  <c r="N406" i="2"/>
  <c r="O405" i="2"/>
  <c r="N405" i="2"/>
  <c r="O404" i="2"/>
  <c r="N404" i="2"/>
  <c r="O403" i="2"/>
  <c r="N403" i="2"/>
  <c r="O402" i="2"/>
  <c r="N402" i="2"/>
  <c r="O401" i="2"/>
  <c r="N401" i="2"/>
  <c r="O400" i="2"/>
  <c r="N400" i="2"/>
  <c r="O399" i="2"/>
  <c r="N399" i="2"/>
  <c r="O398" i="2"/>
  <c r="N398" i="2"/>
  <c r="O397" i="2"/>
  <c r="N397" i="2"/>
  <c r="O396" i="2"/>
  <c r="N396" i="2"/>
  <c r="O395" i="2"/>
  <c r="N395" i="2"/>
  <c r="O394" i="2"/>
  <c r="N394" i="2"/>
  <c r="O393" i="2"/>
  <c r="N393" i="2"/>
  <c r="O392" i="2"/>
  <c r="N392" i="2"/>
  <c r="O391" i="2"/>
  <c r="N391" i="2"/>
  <c r="O390" i="2"/>
  <c r="N390" i="2"/>
  <c r="O389" i="2"/>
  <c r="N389" i="2"/>
  <c r="O388" i="2"/>
  <c r="N388" i="2"/>
  <c r="O387" i="2"/>
  <c r="N387" i="2"/>
  <c r="O386" i="2"/>
  <c r="N386" i="2"/>
  <c r="O385" i="2"/>
  <c r="N385" i="2"/>
  <c r="O384" i="2"/>
  <c r="N384" i="2"/>
  <c r="O383" i="2"/>
  <c r="N383" i="2"/>
  <c r="O382" i="2"/>
  <c r="N382" i="2"/>
  <c r="O381" i="2"/>
  <c r="N381" i="2"/>
  <c r="O380" i="2"/>
  <c r="N380" i="2"/>
  <c r="O379" i="2"/>
  <c r="N379" i="2"/>
  <c r="O378" i="2"/>
  <c r="N378" i="2"/>
  <c r="O377" i="2"/>
  <c r="N377" i="2"/>
  <c r="O376" i="2"/>
  <c r="N376" i="2"/>
  <c r="O375" i="2"/>
  <c r="N375" i="2"/>
  <c r="O374" i="2"/>
  <c r="N374" i="2"/>
  <c r="O373" i="2"/>
  <c r="N373" i="2"/>
  <c r="O372" i="2"/>
  <c r="N372" i="2"/>
  <c r="O371" i="2"/>
  <c r="N371" i="2"/>
  <c r="O370" i="2"/>
  <c r="N370" i="2"/>
  <c r="O369" i="2"/>
  <c r="N369" i="2"/>
  <c r="O368" i="2"/>
  <c r="N368" i="2"/>
  <c r="O367" i="2"/>
  <c r="N367" i="2"/>
  <c r="O366" i="2"/>
  <c r="N366" i="2"/>
  <c r="O365" i="2"/>
  <c r="N365" i="2"/>
  <c r="O364" i="2"/>
  <c r="N364" i="2"/>
  <c r="O363" i="2"/>
  <c r="N363" i="2"/>
  <c r="O362" i="2"/>
  <c r="N362" i="2"/>
  <c r="O361" i="2"/>
  <c r="N361" i="2"/>
  <c r="O360" i="2"/>
  <c r="N360" i="2"/>
  <c r="O359" i="2"/>
  <c r="N359" i="2"/>
  <c r="O358" i="2"/>
  <c r="N358" i="2"/>
  <c r="O357" i="2"/>
  <c r="N357" i="2"/>
  <c r="O356" i="2"/>
  <c r="N356" i="2"/>
  <c r="O355" i="2"/>
  <c r="N355" i="2"/>
  <c r="O354" i="2"/>
  <c r="N354" i="2"/>
  <c r="O353" i="2"/>
  <c r="N353" i="2"/>
  <c r="O352" i="2"/>
  <c r="N352" i="2"/>
  <c r="O351" i="2"/>
  <c r="N351" i="2"/>
  <c r="O350" i="2"/>
  <c r="N350" i="2"/>
  <c r="O349" i="2"/>
  <c r="N349" i="2"/>
  <c r="O348" i="2"/>
  <c r="N348" i="2"/>
  <c r="O347" i="2"/>
  <c r="N347" i="2"/>
  <c r="O346" i="2"/>
  <c r="N346" i="2"/>
  <c r="O345" i="2"/>
  <c r="N345" i="2"/>
  <c r="O344" i="2"/>
  <c r="N344" i="2"/>
  <c r="O343" i="2"/>
  <c r="N343" i="2"/>
  <c r="O342" i="2"/>
  <c r="N342" i="2"/>
  <c r="O341" i="2"/>
  <c r="N341" i="2"/>
  <c r="O340" i="2"/>
  <c r="N340" i="2"/>
  <c r="O339" i="2"/>
  <c r="N339" i="2"/>
  <c r="O338" i="2"/>
  <c r="N338" i="2"/>
  <c r="O337" i="2"/>
  <c r="N337" i="2"/>
  <c r="O336" i="2"/>
  <c r="N336" i="2"/>
  <c r="O335" i="2"/>
  <c r="N335" i="2"/>
  <c r="O334" i="2"/>
  <c r="N334" i="2"/>
  <c r="O333" i="2"/>
  <c r="N333" i="2"/>
  <c r="O332" i="2"/>
  <c r="N332" i="2"/>
  <c r="O331" i="2"/>
  <c r="N331" i="2"/>
  <c r="O330" i="2"/>
  <c r="N330" i="2"/>
  <c r="O329" i="2"/>
  <c r="N329" i="2"/>
  <c r="O328" i="2"/>
  <c r="N328" i="2"/>
  <c r="O327" i="2"/>
  <c r="N327" i="2"/>
  <c r="O326" i="2"/>
  <c r="N326" i="2"/>
  <c r="O325" i="2"/>
  <c r="N325" i="2"/>
  <c r="O324" i="2"/>
  <c r="N324" i="2"/>
  <c r="O323" i="2"/>
  <c r="N323" i="2"/>
  <c r="O322" i="2"/>
  <c r="N322" i="2"/>
  <c r="O321" i="2"/>
  <c r="N321" i="2"/>
  <c r="O320" i="2"/>
  <c r="N320" i="2"/>
  <c r="O319" i="2"/>
  <c r="N319" i="2"/>
  <c r="O318" i="2"/>
  <c r="N318" i="2"/>
  <c r="O317" i="2"/>
  <c r="N317" i="2"/>
  <c r="O316" i="2"/>
  <c r="N316" i="2"/>
  <c r="O315" i="2"/>
  <c r="N315" i="2"/>
  <c r="O314" i="2"/>
  <c r="N314" i="2"/>
  <c r="O313" i="2"/>
  <c r="N313" i="2"/>
  <c r="O312" i="2"/>
  <c r="N312" i="2"/>
  <c r="O311" i="2"/>
  <c r="N311" i="2"/>
  <c r="O310" i="2"/>
  <c r="N310" i="2"/>
  <c r="O309" i="2"/>
  <c r="N309" i="2"/>
  <c r="O308" i="2"/>
  <c r="N308" i="2"/>
  <c r="O307" i="2"/>
  <c r="N307" i="2"/>
  <c r="O306" i="2"/>
  <c r="N306" i="2"/>
  <c r="O305" i="2"/>
  <c r="N305" i="2"/>
  <c r="O304" i="2"/>
  <c r="N304" i="2"/>
  <c r="O303" i="2"/>
  <c r="N303" i="2"/>
  <c r="O302" i="2"/>
  <c r="N302" i="2"/>
  <c r="O301" i="2"/>
  <c r="N301" i="2"/>
  <c r="O300" i="2"/>
  <c r="N300" i="2"/>
  <c r="O299" i="2"/>
  <c r="N299" i="2"/>
  <c r="O298" i="2"/>
  <c r="N298" i="2"/>
  <c r="O297" i="2"/>
  <c r="N297" i="2"/>
  <c r="O296" i="2"/>
  <c r="N296" i="2"/>
  <c r="O295" i="2"/>
  <c r="N295" i="2"/>
  <c r="O294" i="2"/>
  <c r="N294" i="2"/>
  <c r="O293" i="2"/>
  <c r="N293" i="2"/>
  <c r="O292" i="2"/>
  <c r="N292" i="2"/>
  <c r="O291" i="2"/>
  <c r="N291" i="2"/>
  <c r="O290" i="2"/>
  <c r="N290" i="2"/>
  <c r="O289" i="2"/>
  <c r="N289" i="2"/>
  <c r="O288" i="2"/>
  <c r="N288" i="2"/>
  <c r="O287" i="2"/>
  <c r="N287" i="2"/>
  <c r="O286" i="2"/>
  <c r="N286" i="2"/>
  <c r="O285" i="2"/>
  <c r="N285" i="2"/>
  <c r="O284" i="2"/>
  <c r="N284" i="2"/>
  <c r="O283" i="2"/>
  <c r="N283" i="2"/>
  <c r="O282" i="2"/>
  <c r="N282" i="2"/>
  <c r="O281" i="2"/>
  <c r="N281" i="2"/>
  <c r="O280" i="2"/>
  <c r="N280" i="2"/>
  <c r="O279" i="2"/>
  <c r="N279" i="2"/>
  <c r="O278" i="2"/>
  <c r="N278" i="2"/>
  <c r="O277" i="2"/>
  <c r="N277" i="2"/>
  <c r="O276" i="2"/>
  <c r="N276" i="2"/>
  <c r="O275" i="2"/>
  <c r="N275" i="2"/>
  <c r="O274" i="2"/>
  <c r="N274" i="2"/>
  <c r="O273" i="2"/>
  <c r="N273" i="2"/>
  <c r="O272" i="2"/>
  <c r="N272" i="2"/>
  <c r="O271" i="2"/>
  <c r="N271" i="2"/>
  <c r="O270" i="2"/>
  <c r="N270" i="2"/>
  <c r="O269" i="2"/>
  <c r="N269" i="2"/>
  <c r="O268" i="2"/>
  <c r="N268" i="2"/>
  <c r="O267" i="2"/>
  <c r="N267" i="2"/>
  <c r="O266" i="2"/>
  <c r="N266" i="2"/>
  <c r="O265" i="2"/>
  <c r="N265" i="2"/>
  <c r="O264" i="2"/>
  <c r="N264" i="2"/>
  <c r="O263" i="2"/>
  <c r="N263" i="2"/>
  <c r="O262" i="2"/>
  <c r="N262" i="2"/>
  <c r="O261" i="2"/>
  <c r="N261" i="2"/>
  <c r="O260" i="2"/>
  <c r="N260" i="2"/>
  <c r="O259" i="2"/>
  <c r="N259" i="2"/>
  <c r="O258" i="2"/>
  <c r="N258" i="2"/>
  <c r="O257" i="2"/>
  <c r="N257" i="2"/>
  <c r="O256" i="2"/>
  <c r="N256" i="2"/>
  <c r="O255" i="2"/>
  <c r="N255" i="2"/>
  <c r="O254" i="2"/>
  <c r="N254" i="2"/>
  <c r="O253" i="2"/>
  <c r="N253" i="2"/>
  <c r="O252" i="2"/>
  <c r="N252" i="2"/>
  <c r="O251" i="2"/>
  <c r="N251" i="2"/>
  <c r="O250" i="2"/>
  <c r="N250" i="2"/>
  <c r="O249" i="2"/>
  <c r="N249" i="2"/>
  <c r="O248" i="2"/>
  <c r="N248" i="2"/>
  <c r="O247" i="2"/>
  <c r="N247" i="2"/>
  <c r="O246" i="2"/>
  <c r="N246" i="2"/>
  <c r="O245" i="2"/>
  <c r="N245" i="2"/>
  <c r="O244" i="2"/>
  <c r="N244" i="2"/>
  <c r="O243" i="2"/>
  <c r="N243" i="2"/>
  <c r="O242" i="2"/>
  <c r="N242" i="2"/>
  <c r="O241" i="2"/>
  <c r="N241" i="2"/>
  <c r="O240" i="2"/>
  <c r="N240" i="2"/>
  <c r="O239" i="2"/>
  <c r="N239" i="2"/>
  <c r="O238" i="2"/>
  <c r="N238" i="2"/>
  <c r="O237" i="2"/>
  <c r="N237" i="2"/>
  <c r="O236" i="2"/>
  <c r="N236" i="2"/>
  <c r="O235" i="2"/>
  <c r="N235" i="2"/>
  <c r="O234" i="2"/>
  <c r="N234" i="2"/>
  <c r="O233" i="2"/>
  <c r="N233" i="2"/>
  <c r="O232" i="2"/>
  <c r="N232" i="2"/>
  <c r="O231" i="2"/>
  <c r="N231" i="2"/>
  <c r="O230" i="2"/>
  <c r="N230" i="2"/>
  <c r="O229" i="2"/>
  <c r="N229" i="2"/>
  <c r="O228" i="2"/>
  <c r="N228" i="2"/>
  <c r="O227" i="2"/>
  <c r="N227" i="2"/>
  <c r="O226" i="2"/>
  <c r="N226" i="2"/>
  <c r="O225" i="2"/>
  <c r="N225" i="2"/>
  <c r="O224" i="2"/>
  <c r="N224" i="2"/>
  <c r="O223" i="2"/>
  <c r="N223" i="2"/>
  <c r="O222" i="2"/>
  <c r="N222" i="2"/>
  <c r="O221" i="2"/>
  <c r="N221" i="2"/>
  <c r="O220" i="2"/>
  <c r="N220" i="2"/>
  <c r="O219" i="2"/>
  <c r="N219" i="2"/>
  <c r="O218" i="2"/>
  <c r="N218" i="2"/>
  <c r="O217" i="2"/>
  <c r="N217" i="2"/>
  <c r="O216" i="2"/>
  <c r="N216" i="2"/>
  <c r="O215" i="2"/>
  <c r="N215" i="2"/>
  <c r="O214" i="2"/>
  <c r="N214" i="2"/>
  <c r="O213" i="2"/>
  <c r="N213" i="2"/>
  <c r="O212" i="2"/>
  <c r="N212" i="2"/>
  <c r="O211" i="2"/>
  <c r="N211" i="2"/>
  <c r="O210" i="2"/>
  <c r="N210" i="2"/>
  <c r="O209" i="2"/>
  <c r="N209" i="2"/>
  <c r="O208" i="2"/>
  <c r="N208" i="2"/>
  <c r="O207" i="2"/>
  <c r="N207" i="2"/>
  <c r="O206" i="2"/>
  <c r="N206" i="2"/>
  <c r="O205" i="2"/>
  <c r="N205" i="2"/>
  <c r="O204" i="2"/>
  <c r="N204" i="2"/>
  <c r="O203" i="2"/>
  <c r="N203" i="2"/>
  <c r="O202" i="2"/>
  <c r="N202" i="2"/>
  <c r="O201" i="2"/>
  <c r="N201" i="2"/>
  <c r="O200" i="2"/>
  <c r="N200" i="2"/>
  <c r="O199" i="2"/>
  <c r="N199" i="2"/>
  <c r="O198" i="2"/>
  <c r="N198" i="2"/>
  <c r="O197" i="2"/>
  <c r="N197" i="2"/>
  <c r="O196" i="2"/>
  <c r="N196" i="2"/>
  <c r="O195" i="2"/>
  <c r="N195" i="2"/>
  <c r="O194" i="2"/>
  <c r="N194" i="2"/>
  <c r="O193" i="2"/>
  <c r="N193" i="2"/>
  <c r="O192" i="2"/>
  <c r="N192" i="2"/>
  <c r="O191" i="2"/>
  <c r="N191" i="2"/>
  <c r="O190" i="2"/>
  <c r="N190" i="2"/>
  <c r="O189" i="2"/>
  <c r="N189" i="2"/>
  <c r="O188" i="2"/>
  <c r="N188" i="2"/>
  <c r="O187" i="2"/>
  <c r="N187" i="2"/>
  <c r="O186" i="2"/>
  <c r="N186" i="2"/>
  <c r="O185" i="2"/>
  <c r="N185" i="2"/>
  <c r="O184" i="2"/>
  <c r="N184" i="2"/>
  <c r="O183" i="2"/>
  <c r="N183" i="2"/>
  <c r="O182" i="2"/>
  <c r="N182" i="2"/>
  <c r="O181" i="2"/>
  <c r="N181" i="2"/>
  <c r="O180" i="2"/>
  <c r="N180" i="2"/>
  <c r="O179" i="2"/>
  <c r="N179" i="2"/>
  <c r="O178" i="2"/>
  <c r="N178" i="2"/>
  <c r="O177" i="2"/>
  <c r="N177" i="2"/>
  <c r="O176" i="2"/>
  <c r="N176" i="2"/>
  <c r="O175" i="2"/>
  <c r="N175" i="2"/>
  <c r="O174" i="2"/>
  <c r="N174" i="2"/>
  <c r="O173" i="2"/>
  <c r="N173" i="2"/>
  <c r="O172" i="2"/>
  <c r="N172" i="2"/>
  <c r="O171" i="2"/>
  <c r="N171" i="2"/>
  <c r="O170" i="2"/>
  <c r="N170" i="2"/>
  <c r="O169" i="2"/>
  <c r="N169" i="2"/>
  <c r="O168" i="2"/>
  <c r="N168" i="2"/>
  <c r="O167" i="2"/>
  <c r="N167" i="2"/>
  <c r="O166" i="2"/>
  <c r="N166" i="2"/>
  <c r="O165" i="2"/>
  <c r="N165" i="2"/>
  <c r="O164" i="2"/>
  <c r="N164" i="2"/>
  <c r="O163" i="2"/>
  <c r="N163" i="2"/>
  <c r="O162" i="2"/>
  <c r="N162" i="2"/>
  <c r="O161" i="2"/>
  <c r="N161" i="2"/>
  <c r="O160" i="2"/>
  <c r="N160" i="2"/>
  <c r="O159" i="2"/>
  <c r="N159" i="2"/>
  <c r="O158" i="2"/>
  <c r="N158" i="2"/>
  <c r="O157" i="2"/>
  <c r="N157" i="2"/>
  <c r="O156" i="2"/>
  <c r="N156" i="2"/>
  <c r="O155" i="2"/>
  <c r="N155" i="2"/>
  <c r="O154" i="2"/>
  <c r="N154" i="2"/>
  <c r="O153" i="2"/>
  <c r="N153" i="2"/>
  <c r="O152" i="2"/>
  <c r="N152" i="2"/>
  <c r="O151" i="2"/>
  <c r="N151" i="2"/>
  <c r="O150" i="2"/>
  <c r="N150" i="2"/>
  <c r="O149" i="2"/>
  <c r="N149" i="2"/>
  <c r="O148" i="2"/>
  <c r="N148" i="2"/>
  <c r="O147" i="2"/>
  <c r="N147" i="2"/>
  <c r="O146" i="2"/>
  <c r="N146" i="2"/>
  <c r="O145" i="2"/>
  <c r="N145" i="2"/>
  <c r="O144" i="2"/>
  <c r="N144" i="2"/>
  <c r="O143" i="2"/>
  <c r="N143" i="2"/>
  <c r="O142" i="2"/>
  <c r="N142" i="2"/>
  <c r="O141" i="2"/>
  <c r="N141" i="2"/>
  <c r="O140" i="2"/>
  <c r="N140" i="2"/>
  <c r="O139" i="2"/>
  <c r="N139" i="2"/>
  <c r="O138" i="2"/>
  <c r="N138" i="2"/>
  <c r="O137" i="2"/>
  <c r="N137" i="2"/>
  <c r="O136" i="2"/>
  <c r="N136" i="2"/>
  <c r="O135" i="2"/>
  <c r="N135" i="2"/>
  <c r="O134" i="2"/>
  <c r="N134" i="2"/>
  <c r="O133" i="2"/>
  <c r="N133" i="2"/>
  <c r="O132" i="2"/>
  <c r="N132" i="2"/>
  <c r="O131" i="2"/>
  <c r="N131" i="2"/>
  <c r="O130" i="2"/>
  <c r="N130" i="2"/>
  <c r="O129" i="2"/>
  <c r="N129" i="2"/>
  <c r="O128" i="2"/>
  <c r="N128" i="2"/>
  <c r="O127" i="2"/>
  <c r="N127" i="2"/>
  <c r="O126" i="2"/>
  <c r="N126" i="2"/>
  <c r="O125" i="2"/>
  <c r="N125" i="2"/>
  <c r="O124" i="2"/>
  <c r="N124" i="2"/>
  <c r="O123" i="2"/>
  <c r="N123" i="2"/>
  <c r="O122" i="2"/>
  <c r="N122" i="2"/>
  <c r="O121" i="2"/>
  <c r="N121" i="2"/>
  <c r="O120" i="2"/>
  <c r="N120" i="2"/>
  <c r="O119" i="2"/>
  <c r="N119" i="2"/>
  <c r="O118" i="2"/>
  <c r="N118" i="2"/>
  <c r="O117" i="2"/>
  <c r="N117" i="2"/>
  <c r="O116" i="2"/>
  <c r="N116" i="2"/>
  <c r="O115" i="2"/>
  <c r="N115" i="2"/>
  <c r="O114" i="2"/>
  <c r="N114" i="2"/>
  <c r="O113" i="2"/>
  <c r="N113" i="2"/>
  <c r="O112" i="2"/>
  <c r="N112" i="2"/>
  <c r="O111" i="2"/>
  <c r="N111" i="2"/>
  <c r="O110" i="2"/>
  <c r="N110" i="2"/>
  <c r="O109" i="2"/>
  <c r="N109" i="2"/>
  <c r="O108" i="2"/>
  <c r="N108" i="2"/>
  <c r="O107" i="2"/>
  <c r="N107" i="2"/>
  <c r="O106" i="2"/>
  <c r="N106" i="2"/>
  <c r="O105" i="2"/>
  <c r="N105" i="2"/>
  <c r="O104" i="2"/>
  <c r="N104" i="2"/>
  <c r="O103" i="2"/>
  <c r="N103" i="2"/>
  <c r="O102" i="2"/>
  <c r="N102" i="2"/>
  <c r="O101" i="2"/>
  <c r="N101" i="2"/>
  <c r="O100" i="2"/>
  <c r="N100" i="2"/>
  <c r="O99" i="2"/>
  <c r="N99" i="2"/>
  <c r="O98" i="2"/>
  <c r="N98" i="2"/>
  <c r="O97" i="2"/>
  <c r="N97" i="2"/>
  <c r="O96" i="2"/>
  <c r="N96" i="2"/>
  <c r="O95" i="2"/>
  <c r="N95" i="2"/>
  <c r="O94" i="2"/>
  <c r="N94" i="2"/>
  <c r="O93" i="2"/>
  <c r="N93" i="2"/>
  <c r="O92" i="2"/>
  <c r="N92" i="2"/>
  <c r="O91" i="2"/>
  <c r="N91" i="2"/>
  <c r="O90" i="2"/>
  <c r="N90" i="2"/>
  <c r="O89" i="2"/>
  <c r="N89" i="2"/>
  <c r="O88" i="2"/>
  <c r="N88" i="2"/>
  <c r="O87" i="2"/>
  <c r="N87" i="2"/>
  <c r="O86" i="2"/>
  <c r="N86" i="2"/>
  <c r="O85" i="2"/>
  <c r="N85" i="2"/>
  <c r="O84" i="2"/>
  <c r="N84" i="2"/>
  <c r="O83" i="2"/>
  <c r="N83" i="2"/>
  <c r="O82" i="2"/>
  <c r="N82" i="2"/>
  <c r="O81" i="2"/>
  <c r="N81" i="2"/>
  <c r="O80" i="2"/>
  <c r="N80" i="2"/>
  <c r="O79" i="2"/>
  <c r="N79" i="2"/>
  <c r="O78" i="2"/>
  <c r="N78" i="2"/>
  <c r="O77" i="2"/>
  <c r="N77" i="2"/>
  <c r="O76" i="2"/>
  <c r="N76" i="2"/>
  <c r="O75" i="2"/>
  <c r="N75" i="2"/>
  <c r="O74" i="2"/>
  <c r="N74" i="2"/>
  <c r="O73" i="2"/>
  <c r="N73" i="2"/>
  <c r="O72" i="2"/>
  <c r="N72" i="2"/>
  <c r="O71" i="2"/>
  <c r="N71" i="2"/>
  <c r="O70" i="2"/>
  <c r="N70" i="2"/>
  <c r="O69" i="2"/>
  <c r="N69" i="2"/>
  <c r="O68" i="2"/>
  <c r="N68" i="2"/>
  <c r="O67" i="2"/>
  <c r="N67" i="2"/>
  <c r="O66" i="2"/>
  <c r="N66" i="2"/>
  <c r="O65" i="2"/>
  <c r="N65" i="2"/>
  <c r="O64" i="2"/>
  <c r="N64" i="2"/>
  <c r="O63" i="2"/>
  <c r="N63" i="2"/>
  <c r="O62" i="2"/>
  <c r="N62" i="2"/>
  <c r="O61" i="2"/>
  <c r="N61" i="2"/>
  <c r="O60" i="2"/>
  <c r="N60" i="2"/>
  <c r="O59" i="2"/>
  <c r="N59" i="2"/>
  <c r="O58" i="2"/>
  <c r="N58" i="2"/>
  <c r="O57" i="2"/>
  <c r="N57" i="2"/>
  <c r="O56" i="2"/>
  <c r="N56" i="2"/>
  <c r="O55" i="2"/>
  <c r="N55" i="2"/>
  <c r="O54" i="2"/>
  <c r="N54" i="2"/>
  <c r="O53" i="2"/>
  <c r="N53" i="2"/>
  <c r="O52" i="2"/>
  <c r="N52" i="2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P395" i="2" l="1"/>
  <c r="P371" i="2"/>
  <c r="P387" i="2"/>
  <c r="P403" i="2"/>
  <c r="P25" i="2"/>
  <c r="P41" i="2"/>
  <c r="P57" i="2"/>
  <c r="P75" i="2"/>
  <c r="P107" i="2"/>
  <c r="P131" i="2"/>
  <c r="P139" i="2"/>
  <c r="P147" i="2"/>
  <c r="P171" i="2"/>
  <c r="P179" i="2"/>
  <c r="P195" i="2"/>
  <c r="P203" i="2"/>
  <c r="P211" i="2"/>
  <c r="P227" i="2"/>
  <c r="P235" i="2"/>
  <c r="P243" i="2"/>
  <c r="P259" i="2"/>
  <c r="P267" i="2"/>
  <c r="P275" i="2"/>
  <c r="P291" i="2"/>
  <c r="P299" i="2"/>
  <c r="P307" i="2"/>
  <c r="P323" i="2"/>
  <c r="P331" i="2"/>
  <c r="P339" i="2"/>
  <c r="P355" i="2"/>
  <c r="P363" i="2"/>
  <c r="P163" i="2"/>
  <c r="P86" i="2"/>
  <c r="P96" i="2"/>
  <c r="P118" i="2"/>
  <c r="P128" i="2"/>
  <c r="P150" i="2"/>
  <c r="P160" i="2"/>
  <c r="P182" i="2"/>
  <c r="P192" i="2"/>
  <c r="P214" i="2"/>
  <c r="P224" i="2"/>
  <c r="P246" i="2"/>
  <c r="P256" i="2"/>
  <c r="P278" i="2"/>
  <c r="P294" i="2"/>
  <c r="P310" i="2"/>
  <c r="P326" i="2"/>
  <c r="P342" i="2"/>
  <c r="P358" i="2"/>
  <c r="P374" i="2"/>
  <c r="P390" i="2"/>
  <c r="P406" i="2"/>
  <c r="P18" i="2"/>
  <c r="P22" i="2"/>
  <c r="P29" i="2"/>
  <c r="P33" i="2"/>
  <c r="P37" i="2"/>
  <c r="P45" i="2"/>
  <c r="P49" i="2"/>
  <c r="P53" i="2"/>
  <c r="P61" i="2"/>
  <c r="P65" i="2"/>
  <c r="P71" i="2"/>
  <c r="P87" i="2"/>
  <c r="P91" i="2"/>
  <c r="P103" i="2"/>
  <c r="P119" i="2"/>
  <c r="P123" i="2"/>
  <c r="P135" i="2"/>
  <c r="P151" i="2"/>
  <c r="P155" i="2"/>
  <c r="P167" i="2"/>
  <c r="P183" i="2"/>
  <c r="P187" i="2"/>
  <c r="P199" i="2"/>
  <c r="P215" i="2"/>
  <c r="P219" i="2"/>
  <c r="P231" i="2"/>
  <c r="P247" i="2"/>
  <c r="P251" i="2"/>
  <c r="P263" i="2"/>
  <c r="P279" i="2"/>
  <c r="P283" i="2"/>
  <c r="P295" i="2"/>
  <c r="P311" i="2"/>
  <c r="P315" i="2"/>
  <c r="P327" i="2"/>
  <c r="P343" i="2"/>
  <c r="P347" i="2"/>
  <c r="P359" i="2"/>
  <c r="P375" i="2"/>
  <c r="P379" i="2"/>
  <c r="P391" i="2"/>
  <c r="P407" i="2"/>
  <c r="P27" i="2"/>
  <c r="P35" i="2"/>
  <c r="P51" i="2"/>
  <c r="P79" i="2"/>
  <c r="P95" i="2"/>
  <c r="P175" i="2"/>
  <c r="P207" i="2"/>
  <c r="P223" i="2"/>
  <c r="P239" i="2"/>
  <c r="P271" i="2"/>
  <c r="P287" i="2"/>
  <c r="P303" i="2"/>
  <c r="P319" i="2"/>
  <c r="P335" i="2"/>
  <c r="P351" i="2"/>
  <c r="P367" i="2"/>
  <c r="P383" i="2"/>
  <c r="P399" i="2"/>
  <c r="P255" i="2"/>
  <c r="P20" i="2"/>
  <c r="P23" i="2"/>
  <c r="P31" i="2"/>
  <c r="P39" i="2"/>
  <c r="P43" i="2"/>
  <c r="P47" i="2"/>
  <c r="P55" i="2"/>
  <c r="P59" i="2"/>
  <c r="P63" i="2"/>
  <c r="P67" i="2"/>
  <c r="P83" i="2"/>
  <c r="P99" i="2"/>
  <c r="P111" i="2"/>
  <c r="P115" i="2"/>
  <c r="P127" i="2"/>
  <c r="P143" i="2"/>
  <c r="P159" i="2"/>
  <c r="P191" i="2"/>
  <c r="P320" i="2"/>
  <c r="P336" i="2"/>
  <c r="P352" i="2"/>
  <c r="P368" i="2"/>
  <c r="P384" i="2"/>
  <c r="P400" i="2"/>
  <c r="P19" i="2"/>
  <c r="P26" i="2"/>
  <c r="P30" i="2"/>
  <c r="P34" i="2"/>
  <c r="P38" i="2"/>
  <c r="P42" i="2"/>
  <c r="P46" i="2"/>
  <c r="P50" i="2"/>
  <c r="P54" i="2"/>
  <c r="P58" i="2"/>
  <c r="P62" i="2"/>
  <c r="P66" i="2"/>
  <c r="P70" i="2"/>
  <c r="P76" i="2"/>
  <c r="P80" i="2"/>
  <c r="P82" i="2"/>
  <c r="P92" i="2"/>
  <c r="P98" i="2"/>
  <c r="P102" i="2"/>
  <c r="P108" i="2"/>
  <c r="P112" i="2"/>
  <c r="P114" i="2"/>
  <c r="P124" i="2"/>
  <c r="P130" i="2"/>
  <c r="P134" i="2"/>
  <c r="P140" i="2"/>
  <c r="P144" i="2"/>
  <c r="P146" i="2"/>
  <c r="P156" i="2"/>
  <c r="P162" i="2"/>
  <c r="P166" i="2"/>
  <c r="P172" i="2"/>
  <c r="P176" i="2"/>
  <c r="P178" i="2"/>
  <c r="P188" i="2"/>
  <c r="P194" i="2"/>
  <c r="P198" i="2"/>
  <c r="P204" i="2"/>
  <c r="P208" i="2"/>
  <c r="P210" i="2"/>
  <c r="P220" i="2"/>
  <c r="P226" i="2"/>
  <c r="P230" i="2"/>
  <c r="P236" i="2"/>
  <c r="P240" i="2"/>
  <c r="P242" i="2"/>
  <c r="P252" i="2"/>
  <c r="P258" i="2"/>
  <c r="P262" i="2"/>
  <c r="P268" i="2"/>
  <c r="P272" i="2"/>
  <c r="P274" i="2"/>
  <c r="P288" i="2"/>
  <c r="P304" i="2"/>
  <c r="P21" i="2"/>
  <c r="P28" i="2"/>
  <c r="P36" i="2"/>
  <c r="P44" i="2"/>
  <c r="P56" i="2"/>
  <c r="P60" i="2"/>
  <c r="P68" i="2"/>
  <c r="P72" i="2"/>
  <c r="P84" i="2"/>
  <c r="P88" i="2"/>
  <c r="P106" i="2"/>
  <c r="P122" i="2"/>
  <c r="P126" i="2"/>
  <c r="P138" i="2"/>
  <c r="P148" i="2"/>
  <c r="P152" i="2"/>
  <c r="P158" i="2"/>
  <c r="P170" i="2"/>
  <c r="P174" i="2"/>
  <c r="P186" i="2"/>
  <c r="P196" i="2"/>
  <c r="P200" i="2"/>
  <c r="P218" i="2"/>
  <c r="P228" i="2"/>
  <c r="P232" i="2"/>
  <c r="P238" i="2"/>
  <c r="P244" i="2"/>
  <c r="P248" i="2"/>
  <c r="P266" i="2"/>
  <c r="P282" i="2"/>
  <c r="P286" i="2"/>
  <c r="P292" i="2"/>
  <c r="P296" i="2"/>
  <c r="P300" i="2"/>
  <c r="P308" i="2"/>
  <c r="P312" i="2"/>
  <c r="P316" i="2"/>
  <c r="P322" i="2"/>
  <c r="P330" i="2"/>
  <c r="P334" i="2"/>
  <c r="P338" i="2"/>
  <c r="P346" i="2"/>
  <c r="P348" i="2"/>
  <c r="P356" i="2"/>
  <c r="P360" i="2"/>
  <c r="P364" i="2"/>
  <c r="P370" i="2"/>
  <c r="P378" i="2"/>
  <c r="P382" i="2"/>
  <c r="P386" i="2"/>
  <c r="P394" i="2"/>
  <c r="P398" i="2"/>
  <c r="P402" i="2"/>
  <c r="P24" i="2"/>
  <c r="P32" i="2"/>
  <c r="P40" i="2"/>
  <c r="P48" i="2"/>
  <c r="P52" i="2"/>
  <c r="P64" i="2"/>
  <c r="P74" i="2"/>
  <c r="P78" i="2"/>
  <c r="P90" i="2"/>
  <c r="P94" i="2"/>
  <c r="P100" i="2"/>
  <c r="P104" i="2"/>
  <c r="P110" i="2"/>
  <c r="P116" i="2"/>
  <c r="P120" i="2"/>
  <c r="P132" i="2"/>
  <c r="P136" i="2"/>
  <c r="P142" i="2"/>
  <c r="P154" i="2"/>
  <c r="P164" i="2"/>
  <c r="P168" i="2"/>
  <c r="P180" i="2"/>
  <c r="P184" i="2"/>
  <c r="P190" i="2"/>
  <c r="P202" i="2"/>
  <c r="P206" i="2"/>
  <c r="P212" i="2"/>
  <c r="P216" i="2"/>
  <c r="P222" i="2"/>
  <c r="P234" i="2"/>
  <c r="P250" i="2"/>
  <c r="P254" i="2"/>
  <c r="P260" i="2"/>
  <c r="P264" i="2"/>
  <c r="P270" i="2"/>
  <c r="P276" i="2"/>
  <c r="P280" i="2"/>
  <c r="P284" i="2"/>
  <c r="P290" i="2"/>
  <c r="P298" i="2"/>
  <c r="P302" i="2"/>
  <c r="P306" i="2"/>
  <c r="P314" i="2"/>
  <c r="P318" i="2"/>
  <c r="P324" i="2"/>
  <c r="P328" i="2"/>
  <c r="P332" i="2"/>
  <c r="P340" i="2"/>
  <c r="P344" i="2"/>
  <c r="P350" i="2"/>
  <c r="P354" i="2"/>
  <c r="P362" i="2"/>
  <c r="P366" i="2"/>
  <c r="P372" i="2"/>
  <c r="P376" i="2"/>
  <c r="P380" i="2"/>
  <c r="P388" i="2"/>
  <c r="P392" i="2"/>
  <c r="P396" i="2"/>
  <c r="P404" i="2"/>
  <c r="P69" i="2"/>
  <c r="P73" i="2"/>
  <c r="P77" i="2"/>
  <c r="P81" i="2"/>
  <c r="P85" i="2"/>
  <c r="P89" i="2"/>
  <c r="P93" i="2"/>
  <c r="P97" i="2"/>
  <c r="P101" i="2"/>
  <c r="P105" i="2"/>
  <c r="P109" i="2"/>
  <c r="P113" i="2"/>
  <c r="P117" i="2"/>
  <c r="P121" i="2"/>
  <c r="P125" i="2"/>
  <c r="P129" i="2"/>
  <c r="P133" i="2"/>
  <c r="P137" i="2"/>
  <c r="P141" i="2"/>
  <c r="P145" i="2"/>
  <c r="P149" i="2"/>
  <c r="P153" i="2"/>
  <c r="P157" i="2"/>
  <c r="P161" i="2"/>
  <c r="P165" i="2"/>
  <c r="P169" i="2"/>
  <c r="P173" i="2"/>
  <c r="P177" i="2"/>
  <c r="P181" i="2"/>
  <c r="P185" i="2"/>
  <c r="P189" i="2"/>
  <c r="P193" i="2"/>
  <c r="P197" i="2"/>
  <c r="P201" i="2"/>
  <c r="P205" i="2"/>
  <c r="P209" i="2"/>
  <c r="P213" i="2"/>
  <c r="P217" i="2"/>
  <c r="P221" i="2"/>
  <c r="P225" i="2"/>
  <c r="P229" i="2"/>
  <c r="P233" i="2"/>
  <c r="P237" i="2"/>
  <c r="P241" i="2"/>
  <c r="P245" i="2"/>
  <c r="P249" i="2"/>
  <c r="P253" i="2"/>
  <c r="P257" i="2"/>
  <c r="P261" i="2"/>
  <c r="P265" i="2"/>
  <c r="P269" i="2"/>
  <c r="P273" i="2"/>
  <c r="P277" i="2"/>
  <c r="P281" i="2"/>
  <c r="P285" i="2"/>
  <c r="P289" i="2"/>
  <c r="P293" i="2"/>
  <c r="P297" i="2"/>
  <c r="P301" i="2"/>
  <c r="P305" i="2"/>
  <c r="P309" i="2"/>
  <c r="P313" i="2"/>
  <c r="P317" i="2"/>
  <c r="P321" i="2"/>
  <c r="P325" i="2"/>
  <c r="P329" i="2"/>
  <c r="P333" i="2"/>
  <c r="P337" i="2"/>
  <c r="P341" i="2"/>
  <c r="P345" i="2"/>
  <c r="P349" i="2"/>
  <c r="P353" i="2"/>
  <c r="P357" i="2"/>
  <c r="P361" i="2"/>
  <c r="P365" i="2"/>
  <c r="P369" i="2"/>
  <c r="P373" i="2"/>
  <c r="P377" i="2"/>
  <c r="P381" i="2"/>
  <c r="P385" i="2"/>
  <c r="P389" i="2"/>
  <c r="P393" i="2"/>
  <c r="P397" i="2"/>
  <c r="P401" i="2"/>
  <c r="P405" i="2"/>
</calcChain>
</file>

<file path=xl/sharedStrings.xml><?xml version="1.0" encoding="utf-8"?>
<sst xmlns="http://schemas.openxmlformats.org/spreadsheetml/2006/main" count="501" uniqueCount="77">
  <si>
    <t>DATE</t>
  </si>
  <si>
    <t>SAM</t>
  </si>
  <si>
    <t>Transect</t>
  </si>
  <si>
    <t>LONG</t>
  </si>
  <si>
    <t>SITEM</t>
  </si>
  <si>
    <t>EFFDUR</t>
  </si>
  <si>
    <t>EFFDST</t>
  </si>
  <si>
    <t>USGS</t>
  </si>
  <si>
    <t>ODNR</t>
  </si>
  <si>
    <t>Agency</t>
  </si>
  <si>
    <t>OMNR</t>
  </si>
  <si>
    <t>Year</t>
  </si>
  <si>
    <t>site depth m</t>
  </si>
  <si>
    <t>footrope depth m</t>
  </si>
  <si>
    <t>fishing tem C</t>
  </si>
  <si>
    <t>Begin trawl time</t>
  </si>
  <si>
    <t>Ref Lat S</t>
  </si>
  <si>
    <t>Ref Lat N</t>
  </si>
  <si>
    <t>Ref Long N</t>
  </si>
  <si>
    <t>Ref Long S</t>
  </si>
  <si>
    <t>Distance from N</t>
  </si>
  <si>
    <t>Distance from S</t>
  </si>
  <si>
    <t>Julian Day</t>
  </si>
  <si>
    <t>ESN</t>
  </si>
  <si>
    <t>ES_prop</t>
  </si>
  <si>
    <t>RSYAO_Prop</t>
  </si>
  <si>
    <t>RSYOY_Prop</t>
  </si>
  <si>
    <t>GizYOY_Prop</t>
  </si>
  <si>
    <t>RSYAON</t>
  </si>
  <si>
    <t>RSYOYN</t>
  </si>
  <si>
    <t>GIZYOYN</t>
  </si>
  <si>
    <t>YPYOYN</t>
  </si>
  <si>
    <t>YPYOY_prop</t>
  </si>
  <si>
    <t>NOTE proprotion is of all fish, not just those identified here (i.e., row will not necessarily sum to 1)</t>
  </si>
  <si>
    <t>AllSpeciesN</t>
  </si>
  <si>
    <t>GIZNperMin</t>
  </si>
  <si>
    <t>RSYOYNperMin</t>
  </si>
  <si>
    <t>RSYAONperMin</t>
  </si>
  <si>
    <t>ESNperMin</t>
  </si>
  <si>
    <t>YPNperMin</t>
  </si>
  <si>
    <t>Min dist from N/S</t>
  </si>
  <si>
    <t>Ln(N+1) transformed</t>
  </si>
  <si>
    <t>Layer</t>
  </si>
  <si>
    <t>EW Rondeau</t>
  </si>
  <si>
    <t>0  West of Rondeau</t>
  </si>
  <si>
    <t>1  East of Rondeau</t>
  </si>
  <si>
    <t>.</t>
  </si>
  <si>
    <t>Based on hydroacoustic analyses by year</t>
  </si>
  <si>
    <t>EW</t>
  </si>
  <si>
    <t>depthcat</t>
  </si>
  <si>
    <t>LOGRSYOYN</t>
  </si>
  <si>
    <t>LOGRSYAON</t>
  </si>
  <si>
    <t>LOGESN</t>
  </si>
  <si>
    <t>LOGYPYOYN</t>
  </si>
  <si>
    <t>LAT</t>
  </si>
  <si>
    <t>Sdepth</t>
  </si>
  <si>
    <t>Fdepth</t>
  </si>
  <si>
    <t>Explanation of variables</t>
  </si>
  <si>
    <t>0 = west of a line that extends SSE along the Z-line from Rondeau Bay, 1 = east</t>
  </si>
  <si>
    <t>Longitude, decimal degrees</t>
  </si>
  <si>
    <t>site depth in meters</t>
  </si>
  <si>
    <t>0 = epilimnetic, 1 = hypolimnetic</t>
  </si>
  <si>
    <t>Fishing depth measured as depth of trawl footrope from surface in meters</t>
  </si>
  <si>
    <t>0 = site depth less than 19.5 meters, 1 = greater</t>
  </si>
  <si>
    <t>proportion of the trawl sample that was RSYOY</t>
  </si>
  <si>
    <t>proportion of the trawl sample that was RSYAO</t>
  </si>
  <si>
    <t>proportion of the trawl sample that was ES</t>
  </si>
  <si>
    <t>proportion of the trawl sample that was YPYOY</t>
  </si>
  <si>
    <t>ln(N+1) of total number of RSYOY captured in the trawl sample</t>
  </si>
  <si>
    <t>ln(N+1) of total number of RSYAO captured in the trawl sample</t>
  </si>
  <si>
    <t>ln(N+1) of total number of ES captured in the trawl sample</t>
  </si>
  <si>
    <t>ln(N+1) of total number of YPYOY captured in the trawl sample</t>
  </si>
  <si>
    <t>Number of RSYOY per minute of trawling</t>
  </si>
  <si>
    <t>Number of RSYAO per minute of trawling</t>
  </si>
  <si>
    <t>Number of ES per minute of trawling</t>
  </si>
  <si>
    <t>Number of YPYOY per minute of trawling</t>
  </si>
  <si>
    <t>NOTE: proportions are of all fish species caught in a trawl, not just RS, ES, and YP (hence proportions for a trawl migth not total 1). If this is a problem simply create a fifth proportion that makes up the difference and call it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</si>
</sst>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MS Sans Serif"/>
    </font>
    <font>
      <b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 style="thin">
        <color rgb="FF999999"/>
      </top>
      <bottom/>
      <diagonal/>
    </border>
  </borders>
  <cellStyleXfs count="2">
    <xf numFmtId="0" fontId="0" fillId="0" borderId="0"/>
    <xf numFmtId="0" fontId="5" fillId="0" borderId="0"/>
  </cellStyleXfs>
  <cellXfs count="51">
    <xf numFmtId="0" fontId="0" fillId="0" borderId="0" xfId="0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NumberFormat="1"/>
    <xf numFmtId="165" fontId="0" fillId="0" borderId="0" xfId="0" applyNumberFormat="1"/>
    <xf numFmtId="0" fontId="0" fillId="0" borderId="0" xfId="0" quotePrefix="1" applyNumberFormat="1"/>
    <xf numFmtId="164" fontId="0" fillId="0" borderId="0" xfId="0" quotePrefix="1" applyNumberFormat="1"/>
    <xf numFmtId="2" fontId="0" fillId="0" borderId="0" xfId="0" quotePrefix="1" applyNumberFormat="1"/>
    <xf numFmtId="0" fontId="0" fillId="0" borderId="0" xfId="0" quotePrefix="1"/>
    <xf numFmtId="14" fontId="0" fillId="0" borderId="0" xfId="0" applyNumberFormat="1" applyAlignment="1">
      <alignment vertical="center"/>
    </xf>
    <xf numFmtId="0" fontId="0" fillId="0" borderId="0" xfId="0" applyBorder="1"/>
    <xf numFmtId="165" fontId="0" fillId="0" borderId="0" xfId="0" applyNumberFormat="1" applyBorder="1"/>
    <xf numFmtId="165" fontId="1" fillId="0" borderId="0" xfId="0" applyNumberFormat="1" applyFont="1" applyBorder="1" applyAlignment="1">
      <alignment horizontal="right" vertical="center" wrapText="1"/>
    </xf>
    <xf numFmtId="165" fontId="0" fillId="0" borderId="0" xfId="0" applyNumberFormat="1" applyFont="1"/>
    <xf numFmtId="165" fontId="0" fillId="0" borderId="1" xfId="0" applyNumberFormat="1" applyBorder="1"/>
    <xf numFmtId="165" fontId="0" fillId="0" borderId="3" xfId="0" applyNumberFormat="1" applyBorder="1"/>
    <xf numFmtId="165" fontId="0" fillId="0" borderId="2" xfId="0" applyNumberFormat="1" applyBorder="1"/>
    <xf numFmtId="1" fontId="2" fillId="0" borderId="0" xfId="0" applyNumberFormat="1" applyFont="1"/>
    <xf numFmtId="0" fontId="2" fillId="0" borderId="0" xfId="0" applyFont="1"/>
    <xf numFmtId="1" fontId="0" fillId="0" borderId="0" xfId="0" applyNumberFormat="1" applyBorder="1"/>
    <xf numFmtId="0" fontId="4" fillId="0" borderId="0" xfId="0" applyFont="1"/>
    <xf numFmtId="0" fontId="3" fillId="0" borderId="0" xfId="0" applyFont="1"/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/>
    <xf numFmtId="0" fontId="2" fillId="0" borderId="0" xfId="0" applyFont="1"/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2" fontId="0" fillId="0" borderId="0" xfId="0" applyNumberFormat="1"/>
    <xf numFmtId="0" fontId="6" fillId="0" borderId="0" xfId="0" applyFont="1"/>
    <xf numFmtId="1" fontId="0" fillId="0" borderId="0" xfId="0" applyNumberFormat="1" applyFill="1" applyBorder="1"/>
    <xf numFmtId="1" fontId="0" fillId="0" borderId="0" xfId="0" quotePrefix="1" applyNumberFormat="1"/>
    <xf numFmtId="166" fontId="2" fillId="0" borderId="0" xfId="0" applyNumberFormat="1" applyFont="1"/>
    <xf numFmtId="166" fontId="0" fillId="0" borderId="0" xfId="0" applyNumberFormat="1"/>
  </cellXfs>
  <cellStyles count="2">
    <cellStyle name="Normal" xfId="0" builtinId="0"/>
    <cellStyle name="Normal 2" xfId="1" xr:uid="{8DA44672-F2C9-46F1-A9A1-429A8B501FA5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2:AS743"/>
  <sheetViews>
    <sheetView zoomScale="60" zoomScaleNormal="60" workbookViewId="0">
      <selection activeCell="A14" sqref="A14"/>
    </sheetView>
  </sheetViews>
  <sheetFormatPr defaultRowHeight="15" x14ac:dyDescent="0.25"/>
  <cols>
    <col min="1" max="1" width="10.85546875" bestFit="1" customWidth="1"/>
    <col min="2" max="2" width="11.28515625" bestFit="1" customWidth="1"/>
    <col min="3" max="3" width="14.42578125" bestFit="1" customWidth="1"/>
    <col min="4" max="4" width="7.5703125" bestFit="1" customWidth="1"/>
    <col min="5" max="5" width="8" bestFit="1" customWidth="1"/>
    <col min="6" max="6" width="12.7109375" bestFit="1" customWidth="1"/>
    <col min="7" max="7" width="17.28515625" style="44" customWidth="1"/>
    <col min="8" max="8" width="9.140625" bestFit="1" customWidth="1"/>
    <col min="9" max="9" width="9.85546875" bestFit="1" customWidth="1"/>
    <col min="10" max="10" width="17.28515625" bestFit="1" customWidth="1"/>
    <col min="11" max="11" width="19.42578125" bestFit="1" customWidth="1"/>
    <col min="12" max="12" width="17" bestFit="1" customWidth="1"/>
    <col min="13" max="13" width="19.140625" bestFit="1" customWidth="1"/>
    <col min="14" max="14" width="22.28515625" bestFit="1" customWidth="1"/>
    <col min="15" max="15" width="22" bestFit="1" customWidth="1"/>
    <col min="16" max="16" width="24" bestFit="1" customWidth="1"/>
    <col min="17" max="17" width="10.140625" bestFit="1" customWidth="1"/>
    <col min="18" max="18" width="18.28515625" bestFit="1" customWidth="1"/>
    <col min="19" max="19" width="17" bestFit="1" customWidth="1"/>
    <col min="20" max="20" width="23.42578125" bestFit="1" customWidth="1"/>
    <col min="21" max="21" width="10.140625" style="44" customWidth="1"/>
    <col min="22" max="22" width="21.85546875" bestFit="1" customWidth="1"/>
    <col min="23" max="23" width="12.5703125" bestFit="1" customWidth="1"/>
    <col min="24" max="24" width="12.28515625" bestFit="1" customWidth="1"/>
    <col min="25" max="25" width="12.28515625" style="28" customWidth="1"/>
    <col min="26" max="26" width="16.85546875" style="28" bestFit="1" customWidth="1"/>
    <col min="27" max="27" width="21.5703125" style="28" bestFit="1" customWidth="1"/>
    <col min="28" max="28" width="21.85546875" style="28" bestFit="1" customWidth="1"/>
    <col min="29" max="29" width="15.5703125" style="28" bestFit="1" customWidth="1"/>
    <col min="30" max="30" width="15.85546875" style="28" bestFit="1" customWidth="1"/>
    <col min="31" max="31" width="18.7109375" customWidth="1"/>
    <col min="32" max="32" width="18.42578125" bestFit="1" customWidth="1"/>
    <col min="33" max="33" width="18.7109375" bestFit="1" customWidth="1"/>
    <col min="34" max="34" width="14.7109375" bestFit="1" customWidth="1"/>
    <col min="35" max="35" width="18" bestFit="1" customWidth="1"/>
    <col min="36" max="38" width="14.7109375" customWidth="1"/>
    <col min="40" max="40" width="12.7109375" bestFit="1" customWidth="1"/>
    <col min="41" max="41" width="17" bestFit="1" customWidth="1"/>
  </cols>
  <sheetData>
    <row r="12" spans="7:45" x14ac:dyDescent="0.25">
      <c r="G12" s="44" t="s">
        <v>44</v>
      </c>
    </row>
    <row r="13" spans="7:45" x14ac:dyDescent="0.25">
      <c r="G13" s="44" t="s">
        <v>45</v>
      </c>
      <c r="U13" s="44" t="s">
        <v>47</v>
      </c>
    </row>
    <row r="14" spans="7:45" x14ac:dyDescent="0.25">
      <c r="AE14" s="23" t="s">
        <v>33</v>
      </c>
    </row>
    <row r="16" spans="7:45" x14ac:dyDescent="0.25">
      <c r="AO16" s="46" t="s">
        <v>41</v>
      </c>
      <c r="AP16" s="22"/>
      <c r="AQ16" s="22"/>
      <c r="AR16" s="22"/>
      <c r="AS16" s="22"/>
    </row>
    <row r="17" spans="1:45" x14ac:dyDescent="0.25">
      <c r="A17" s="19" t="s">
        <v>9</v>
      </c>
      <c r="B17" s="19" t="s">
        <v>0</v>
      </c>
      <c r="C17" s="19" t="s">
        <v>22</v>
      </c>
      <c r="D17" s="19" t="s">
        <v>11</v>
      </c>
      <c r="E17" s="19" t="s">
        <v>1</v>
      </c>
      <c r="F17" s="19" t="s">
        <v>2</v>
      </c>
      <c r="G17" s="19" t="s">
        <v>43</v>
      </c>
      <c r="H17" s="19" t="s">
        <v>54</v>
      </c>
      <c r="I17" s="19" t="s">
        <v>3</v>
      </c>
      <c r="J17" s="19" t="s">
        <v>17</v>
      </c>
      <c r="K17" s="19" t="s">
        <v>18</v>
      </c>
      <c r="L17" s="19" t="s">
        <v>16</v>
      </c>
      <c r="M17" s="19" t="s">
        <v>19</v>
      </c>
      <c r="N17" s="19" t="s">
        <v>20</v>
      </c>
      <c r="O17" s="19" t="s">
        <v>21</v>
      </c>
      <c r="P17" s="19" t="s">
        <v>40</v>
      </c>
      <c r="Q17" s="19" t="s">
        <v>4</v>
      </c>
      <c r="R17" s="19" t="s">
        <v>14</v>
      </c>
      <c r="S17" s="19" t="s">
        <v>12</v>
      </c>
      <c r="T17" s="19" t="s">
        <v>13</v>
      </c>
      <c r="U17" s="19" t="s">
        <v>42</v>
      </c>
      <c r="V17" s="19" t="s">
        <v>15</v>
      </c>
      <c r="W17" s="19" t="s">
        <v>5</v>
      </c>
      <c r="X17" s="19" t="s">
        <v>6</v>
      </c>
      <c r="Y17" s="20" t="s">
        <v>34</v>
      </c>
      <c r="Z17" s="29" t="s">
        <v>35</v>
      </c>
      <c r="AA17" s="29" t="s">
        <v>36</v>
      </c>
      <c r="AB17" s="29" t="s">
        <v>37</v>
      </c>
      <c r="AC17" s="29" t="s">
        <v>38</v>
      </c>
      <c r="AD17" s="29" t="s">
        <v>39</v>
      </c>
      <c r="AE17" s="20" t="s">
        <v>27</v>
      </c>
      <c r="AF17" s="20" t="s">
        <v>26</v>
      </c>
      <c r="AG17" s="20" t="s">
        <v>25</v>
      </c>
      <c r="AH17" s="20" t="s">
        <v>24</v>
      </c>
      <c r="AI17" s="20" t="s">
        <v>32</v>
      </c>
      <c r="AJ17" s="20" t="s">
        <v>30</v>
      </c>
      <c r="AK17" s="20" t="s">
        <v>29</v>
      </c>
      <c r="AL17" s="20" t="s">
        <v>28</v>
      </c>
      <c r="AM17" s="20" t="s">
        <v>23</v>
      </c>
      <c r="AN17" s="20" t="s">
        <v>31</v>
      </c>
      <c r="AO17" s="46" t="s">
        <v>30</v>
      </c>
      <c r="AP17" s="46" t="s">
        <v>29</v>
      </c>
      <c r="AQ17" s="46" t="s">
        <v>28</v>
      </c>
      <c r="AR17" s="46" t="s">
        <v>23</v>
      </c>
      <c r="AS17" s="46" t="s">
        <v>31</v>
      </c>
    </row>
    <row r="18" spans="1:45" x14ac:dyDescent="0.25">
      <c r="A18" s="1" t="s">
        <v>7</v>
      </c>
      <c r="B18" s="2">
        <v>40007</v>
      </c>
      <c r="C18">
        <v>194</v>
      </c>
      <c r="D18" s="1">
        <v>2009</v>
      </c>
      <c r="E18">
        <v>301</v>
      </c>
      <c r="F18">
        <v>58100</v>
      </c>
      <c r="G18" s="44">
        <f>IF(F18&lt;57601, 0, 1)</f>
        <v>1</v>
      </c>
      <c r="H18" s="6">
        <v>42.014479999999999</v>
      </c>
      <c r="I18" s="6">
        <v>-80.753320000000002</v>
      </c>
      <c r="J18">
        <v>42.632766666666669</v>
      </c>
      <c r="K18">
        <v>-81.01636666666667</v>
      </c>
      <c r="L18">
        <v>41.96221666666667</v>
      </c>
      <c r="M18">
        <v>-80.744650000000007</v>
      </c>
      <c r="N18" s="22">
        <f t="shared" ref="N18:N24" si="0">SQRT(((I18-K18)^2)+((H18-J18)^2))</f>
        <v>0.67191662505271188</v>
      </c>
      <c r="O18" s="22">
        <f t="shared" ref="O18:O24" si="1">SQRT(((I18-M18)^2)+((H18-L18)^2))</f>
        <v>5.2977588762707584E-2</v>
      </c>
      <c r="P18" s="22">
        <f>MIN(O18, N18)</f>
        <v>5.2977588762707584E-2</v>
      </c>
      <c r="S18" s="3">
        <v>20.116799356262419</v>
      </c>
      <c r="T18" s="1">
        <v>7.6199997561600075</v>
      </c>
      <c r="U18" s="1">
        <v>0</v>
      </c>
      <c r="V18">
        <v>2228</v>
      </c>
      <c r="W18">
        <v>10</v>
      </c>
      <c r="X18" s="4">
        <v>0.95</v>
      </c>
      <c r="Y18">
        <v>22</v>
      </c>
      <c r="Z18" s="28">
        <f>AJ18/$W18</f>
        <v>0</v>
      </c>
      <c r="AA18" s="28">
        <f>AK18/$W18</f>
        <v>0.1</v>
      </c>
      <c r="AB18" s="28">
        <f>AL18/$W18</f>
        <v>0</v>
      </c>
      <c r="AC18" s="28">
        <f>AM18/$W18</f>
        <v>2.1</v>
      </c>
      <c r="AD18" s="28">
        <f>AN18/$W18</f>
        <v>0</v>
      </c>
      <c r="AE18">
        <f t="shared" ref="AE18:AE32" si="2">AJ18/$Y18</f>
        <v>0</v>
      </c>
      <c r="AF18">
        <f t="shared" ref="AF18:AF32" si="3">AK18/$Y18</f>
        <v>4.5454545454545456E-2</v>
      </c>
      <c r="AG18">
        <f t="shared" ref="AG18:AG32" si="4">AL18/$Y18</f>
        <v>0</v>
      </c>
      <c r="AH18">
        <f t="shared" ref="AH18:AH32" si="5">AM18/$Y18</f>
        <v>0.95454545454545459</v>
      </c>
      <c r="AI18">
        <f t="shared" ref="AI18:AI32" si="6">AN18/$Y18</f>
        <v>0</v>
      </c>
      <c r="AJ18">
        <v>0</v>
      </c>
      <c r="AK18">
        <v>1</v>
      </c>
      <c r="AL18">
        <v>0</v>
      </c>
      <c r="AM18">
        <v>21</v>
      </c>
      <c r="AN18">
        <v>0</v>
      </c>
      <c r="AO18" s="22">
        <f>LN(AJ18+1)</f>
        <v>0</v>
      </c>
      <c r="AP18" s="22">
        <f>LN(AK18+1)</f>
        <v>0.69314718055994529</v>
      </c>
      <c r="AQ18" s="22">
        <f>LN(AL18+1)</f>
        <v>0</v>
      </c>
      <c r="AR18" s="22">
        <f>LN(AM18+1)</f>
        <v>3.0910424533583161</v>
      </c>
      <c r="AS18" s="22">
        <f>LN(AN18+1)</f>
        <v>0</v>
      </c>
    </row>
    <row r="19" spans="1:45" x14ac:dyDescent="0.25">
      <c r="A19" s="1" t="s">
        <v>7</v>
      </c>
      <c r="B19" s="2">
        <v>40008</v>
      </c>
      <c r="C19">
        <v>195</v>
      </c>
      <c r="D19" s="1">
        <v>2009</v>
      </c>
      <c r="E19">
        <v>302</v>
      </c>
      <c r="F19">
        <v>58100</v>
      </c>
      <c r="G19" s="44">
        <f t="shared" ref="G19:G82" si="7">IF(F19&lt;57601, 0, 1)</f>
        <v>1</v>
      </c>
      <c r="H19" s="6">
        <v>42.146799999999999</v>
      </c>
      <c r="I19" s="6">
        <v>-80.845969999999994</v>
      </c>
      <c r="J19">
        <v>42.632766666666669</v>
      </c>
      <c r="K19">
        <v>-81.01636666666667</v>
      </c>
      <c r="L19">
        <v>41.96221666666667</v>
      </c>
      <c r="M19">
        <v>-80.744650000000007</v>
      </c>
      <c r="N19" s="22">
        <f t="shared" si="0"/>
        <v>0.51497439268591638</v>
      </c>
      <c r="O19" s="22">
        <f t="shared" si="1"/>
        <v>0.21056293440309043</v>
      </c>
      <c r="P19" s="22">
        <f t="shared" ref="P19:P81" si="8">MIN(O19, N19)</f>
        <v>0.21056293440309043</v>
      </c>
      <c r="S19" s="3">
        <v>21.945599297740824</v>
      </c>
      <c r="T19" s="1">
        <v>13.715999561088013</v>
      </c>
      <c r="U19" s="1">
        <v>1</v>
      </c>
      <c r="V19">
        <v>2428</v>
      </c>
      <c r="W19">
        <v>10</v>
      </c>
      <c r="X19" s="4">
        <v>0.97</v>
      </c>
      <c r="Y19">
        <v>22</v>
      </c>
      <c r="Z19" s="28">
        <f t="shared" ref="Z19:Z82" si="9">AJ19/$W19</f>
        <v>0</v>
      </c>
      <c r="AA19" s="28">
        <f t="shared" ref="AA19:AA82" si="10">AK19/$W19</f>
        <v>1.5</v>
      </c>
      <c r="AB19" s="28">
        <f t="shared" ref="AB19:AB82" si="11">AL19/$W19</f>
        <v>0</v>
      </c>
      <c r="AC19" s="28">
        <f t="shared" ref="AC19:AC82" si="12">AM19/$W19</f>
        <v>0.7</v>
      </c>
      <c r="AD19" s="28">
        <f t="shared" ref="AD19:AD82" si="13">AN19/$W19</f>
        <v>0</v>
      </c>
      <c r="AE19">
        <f t="shared" si="2"/>
        <v>0</v>
      </c>
      <c r="AF19">
        <f t="shared" si="3"/>
        <v>0.68181818181818177</v>
      </c>
      <c r="AG19">
        <f t="shared" si="4"/>
        <v>0</v>
      </c>
      <c r="AH19">
        <f t="shared" si="5"/>
        <v>0.31818181818181818</v>
      </c>
      <c r="AI19">
        <f t="shared" si="6"/>
        <v>0</v>
      </c>
      <c r="AJ19">
        <v>0</v>
      </c>
      <c r="AK19">
        <v>15</v>
      </c>
      <c r="AL19">
        <v>0</v>
      </c>
      <c r="AM19">
        <v>7</v>
      </c>
      <c r="AN19">
        <v>0</v>
      </c>
      <c r="AO19" s="22">
        <f t="shared" ref="AO19:AO82" si="14">LN(AJ19+1)</f>
        <v>0</v>
      </c>
      <c r="AP19" s="22">
        <f t="shared" ref="AP19:AP82" si="15">LN(AK19+1)</f>
        <v>2.7725887222397811</v>
      </c>
      <c r="AQ19" s="22">
        <f t="shared" ref="AQ19:AQ82" si="16">LN(AL19+1)</f>
        <v>0</v>
      </c>
      <c r="AR19" s="22">
        <f t="shared" ref="AR19:AR82" si="17">LN(AM19+1)</f>
        <v>2.0794415416798357</v>
      </c>
      <c r="AS19" s="22">
        <f t="shared" ref="AS19:AS82" si="18">LN(AN19+1)</f>
        <v>0</v>
      </c>
    </row>
    <row r="20" spans="1:45" x14ac:dyDescent="0.25">
      <c r="A20" s="1" t="s">
        <v>7</v>
      </c>
      <c r="B20" s="2">
        <v>40008</v>
      </c>
      <c r="C20">
        <v>195</v>
      </c>
      <c r="D20" s="1">
        <v>2009</v>
      </c>
      <c r="E20">
        <v>303</v>
      </c>
      <c r="F20">
        <v>58100</v>
      </c>
      <c r="G20" s="44">
        <f t="shared" si="7"/>
        <v>1</v>
      </c>
      <c r="H20" s="6">
        <v>42.231749999999998</v>
      </c>
      <c r="I20" s="6">
        <v>-80.892070000000004</v>
      </c>
      <c r="J20">
        <v>42.632766666666669</v>
      </c>
      <c r="K20">
        <v>-81.01636666666667</v>
      </c>
      <c r="L20">
        <v>41.96221666666667</v>
      </c>
      <c r="M20">
        <v>-80.744650000000007</v>
      </c>
      <c r="N20" s="22">
        <f t="shared" si="0"/>
        <v>0.41983809771016717</v>
      </c>
      <c r="O20" s="22">
        <f t="shared" si="1"/>
        <v>0.30721470371350068</v>
      </c>
      <c r="P20" s="22">
        <f t="shared" si="8"/>
        <v>0.30721470371350068</v>
      </c>
      <c r="S20" s="3">
        <v>20.726399336755222</v>
      </c>
      <c r="T20" s="1">
        <v>13.715999561088013</v>
      </c>
      <c r="U20" s="1">
        <v>1</v>
      </c>
      <c r="V20">
        <v>2604</v>
      </c>
      <c r="W20">
        <v>10</v>
      </c>
      <c r="X20" s="4">
        <v>0.94</v>
      </c>
      <c r="Y20">
        <v>974</v>
      </c>
      <c r="Z20" s="28">
        <f t="shared" si="9"/>
        <v>0</v>
      </c>
      <c r="AA20" s="28">
        <f t="shared" si="10"/>
        <v>0.1</v>
      </c>
      <c r="AB20" s="28">
        <f t="shared" si="11"/>
        <v>97.2</v>
      </c>
      <c r="AC20" s="28">
        <f t="shared" si="12"/>
        <v>0</v>
      </c>
      <c r="AD20" s="28">
        <f t="shared" si="13"/>
        <v>0</v>
      </c>
      <c r="AE20">
        <f t="shared" si="2"/>
        <v>0</v>
      </c>
      <c r="AF20">
        <f t="shared" si="3"/>
        <v>1.026694045174538E-3</v>
      </c>
      <c r="AG20">
        <f t="shared" si="4"/>
        <v>0.99794661190965095</v>
      </c>
      <c r="AH20">
        <f t="shared" si="5"/>
        <v>0</v>
      </c>
      <c r="AI20">
        <f t="shared" si="6"/>
        <v>0</v>
      </c>
      <c r="AJ20">
        <v>0</v>
      </c>
      <c r="AK20">
        <v>1</v>
      </c>
      <c r="AL20">
        <v>972</v>
      </c>
      <c r="AM20">
        <v>0</v>
      </c>
      <c r="AN20">
        <v>0</v>
      </c>
      <c r="AO20" s="22">
        <f t="shared" si="14"/>
        <v>0</v>
      </c>
      <c r="AP20" s="22">
        <f t="shared" si="15"/>
        <v>0.69314718055994529</v>
      </c>
      <c r="AQ20" s="22">
        <f t="shared" si="16"/>
        <v>6.8803840821860049</v>
      </c>
      <c r="AR20" s="22">
        <f t="shared" si="17"/>
        <v>0</v>
      </c>
      <c r="AS20" s="22">
        <f t="shared" si="18"/>
        <v>0</v>
      </c>
    </row>
    <row r="21" spans="1:45" x14ac:dyDescent="0.25">
      <c r="A21" s="1" t="s">
        <v>7</v>
      </c>
      <c r="B21" s="2">
        <v>40009</v>
      </c>
      <c r="C21">
        <v>196</v>
      </c>
      <c r="D21" s="1">
        <v>2009</v>
      </c>
      <c r="E21">
        <v>304</v>
      </c>
      <c r="F21">
        <v>57850</v>
      </c>
      <c r="G21" s="44">
        <f t="shared" si="7"/>
        <v>1</v>
      </c>
      <c r="H21" s="6">
        <v>42.437779999999997</v>
      </c>
      <c r="I21" s="6">
        <v>-81.416380000000004</v>
      </c>
      <c r="J21">
        <v>42.566916666666664</v>
      </c>
      <c r="K21">
        <v>-81.47208333333333</v>
      </c>
      <c r="L21">
        <v>41.819366666666667</v>
      </c>
      <c r="M21">
        <v>-81.155166666666673</v>
      </c>
      <c r="N21" s="22">
        <f t="shared" si="0"/>
        <v>0.14063833055828592</v>
      </c>
      <c r="O21" s="22">
        <f t="shared" si="1"/>
        <v>0.6713177015061863</v>
      </c>
      <c r="P21" s="22">
        <f t="shared" si="8"/>
        <v>0.14063833055828592</v>
      </c>
      <c r="S21" s="3">
        <v>19.811999366016021</v>
      </c>
      <c r="T21" s="1">
        <v>13.715999561088013</v>
      </c>
      <c r="U21" s="1">
        <v>1</v>
      </c>
      <c r="V21">
        <v>2259</v>
      </c>
      <c r="W21">
        <v>10</v>
      </c>
      <c r="X21" s="4">
        <v>0.94</v>
      </c>
      <c r="Y21">
        <v>730</v>
      </c>
      <c r="Z21" s="28">
        <f t="shared" si="9"/>
        <v>0</v>
      </c>
      <c r="AA21" s="28">
        <f t="shared" si="10"/>
        <v>0.6</v>
      </c>
      <c r="AB21" s="28">
        <f t="shared" si="11"/>
        <v>72.400000000000006</v>
      </c>
      <c r="AC21" s="28">
        <f t="shared" si="12"/>
        <v>0</v>
      </c>
      <c r="AD21" s="28">
        <f t="shared" si="13"/>
        <v>0</v>
      </c>
      <c r="AE21">
        <f t="shared" si="2"/>
        <v>0</v>
      </c>
      <c r="AF21">
        <f t="shared" si="3"/>
        <v>8.21917808219178E-3</v>
      </c>
      <c r="AG21">
        <f t="shared" si="4"/>
        <v>0.99178082191780825</v>
      </c>
      <c r="AH21">
        <f t="shared" si="5"/>
        <v>0</v>
      </c>
      <c r="AI21">
        <f t="shared" si="6"/>
        <v>0</v>
      </c>
      <c r="AJ21">
        <v>0</v>
      </c>
      <c r="AK21">
        <v>6</v>
      </c>
      <c r="AL21">
        <v>724</v>
      </c>
      <c r="AM21">
        <v>0</v>
      </c>
      <c r="AN21">
        <v>0</v>
      </c>
      <c r="AO21" s="22">
        <f t="shared" si="14"/>
        <v>0</v>
      </c>
      <c r="AP21" s="22">
        <f t="shared" si="15"/>
        <v>1.9459101490553132</v>
      </c>
      <c r="AQ21" s="22">
        <f t="shared" si="16"/>
        <v>6.5861716548546747</v>
      </c>
      <c r="AR21" s="22">
        <f t="shared" si="17"/>
        <v>0</v>
      </c>
      <c r="AS21" s="22">
        <f t="shared" si="18"/>
        <v>0</v>
      </c>
    </row>
    <row r="22" spans="1:45" x14ac:dyDescent="0.25">
      <c r="A22" s="1" t="s">
        <v>7</v>
      </c>
      <c r="B22" s="2">
        <v>40009</v>
      </c>
      <c r="C22">
        <v>196</v>
      </c>
      <c r="D22" s="1">
        <v>2009</v>
      </c>
      <c r="E22">
        <v>305</v>
      </c>
      <c r="F22">
        <v>57850</v>
      </c>
      <c r="G22" s="44">
        <f t="shared" si="7"/>
        <v>1</v>
      </c>
      <c r="H22" s="6">
        <v>42.335749999999997</v>
      </c>
      <c r="I22" s="6">
        <v>-81.37482</v>
      </c>
      <c r="J22">
        <v>42.566916666666664</v>
      </c>
      <c r="K22">
        <v>-81.47208333333333</v>
      </c>
      <c r="L22">
        <v>41.819366666666667</v>
      </c>
      <c r="M22">
        <v>-81.155166666666673</v>
      </c>
      <c r="N22" s="22">
        <f t="shared" si="0"/>
        <v>0.25079510319958082</v>
      </c>
      <c r="O22" s="22">
        <f t="shared" si="1"/>
        <v>0.5611589202613485</v>
      </c>
      <c r="P22" s="22">
        <f t="shared" si="8"/>
        <v>0.25079510319958082</v>
      </c>
      <c r="S22" s="3">
        <v>22.555199278233623</v>
      </c>
      <c r="T22" s="1">
        <v>16.763999463552018</v>
      </c>
      <c r="U22" s="1">
        <v>1</v>
      </c>
      <c r="V22">
        <v>2408</v>
      </c>
      <c r="W22">
        <v>10</v>
      </c>
      <c r="X22" s="4">
        <v>0.93</v>
      </c>
      <c r="Y22">
        <v>1103</v>
      </c>
      <c r="Z22" s="28">
        <f t="shared" si="9"/>
        <v>0</v>
      </c>
      <c r="AA22" s="28">
        <f t="shared" si="10"/>
        <v>0.7</v>
      </c>
      <c r="AB22" s="28">
        <f t="shared" si="11"/>
        <v>109.6</v>
      </c>
      <c r="AC22" s="28">
        <f t="shared" si="12"/>
        <v>0</v>
      </c>
      <c r="AD22" s="28">
        <f t="shared" si="13"/>
        <v>0</v>
      </c>
      <c r="AE22">
        <f t="shared" si="2"/>
        <v>0</v>
      </c>
      <c r="AF22">
        <f t="shared" si="3"/>
        <v>6.3463281958295557E-3</v>
      </c>
      <c r="AG22">
        <f t="shared" si="4"/>
        <v>0.99365367180417041</v>
      </c>
      <c r="AH22">
        <f t="shared" si="5"/>
        <v>0</v>
      </c>
      <c r="AI22">
        <f t="shared" si="6"/>
        <v>0</v>
      </c>
      <c r="AJ22">
        <v>0</v>
      </c>
      <c r="AK22">
        <v>7</v>
      </c>
      <c r="AL22">
        <v>1096</v>
      </c>
      <c r="AM22">
        <v>0</v>
      </c>
      <c r="AN22">
        <v>0</v>
      </c>
      <c r="AO22" s="22">
        <f t="shared" si="14"/>
        <v>0</v>
      </c>
      <c r="AP22" s="22">
        <f t="shared" si="15"/>
        <v>2.0794415416798357</v>
      </c>
      <c r="AQ22" s="22">
        <f t="shared" si="16"/>
        <v>7.00033446027523</v>
      </c>
      <c r="AR22" s="22">
        <f t="shared" si="17"/>
        <v>0</v>
      </c>
      <c r="AS22" s="22">
        <f t="shared" si="18"/>
        <v>0</v>
      </c>
    </row>
    <row r="23" spans="1:45" x14ac:dyDescent="0.25">
      <c r="A23" s="1" t="s">
        <v>7</v>
      </c>
      <c r="B23" s="2">
        <v>40009</v>
      </c>
      <c r="C23">
        <v>196</v>
      </c>
      <c r="D23" s="1">
        <v>2009</v>
      </c>
      <c r="E23">
        <v>307</v>
      </c>
      <c r="F23">
        <v>57850</v>
      </c>
      <c r="G23" s="44">
        <f t="shared" si="7"/>
        <v>1</v>
      </c>
      <c r="H23" s="6">
        <v>42.156529999999997</v>
      </c>
      <c r="I23" s="6">
        <v>-81.2988</v>
      </c>
      <c r="J23">
        <v>42.566916666666664</v>
      </c>
      <c r="K23">
        <v>-81.47208333333333</v>
      </c>
      <c r="L23">
        <v>41.819366666666667</v>
      </c>
      <c r="M23">
        <v>-81.155166666666673</v>
      </c>
      <c r="N23" s="22">
        <f t="shared" si="0"/>
        <v>0.44547090790408367</v>
      </c>
      <c r="O23" s="22">
        <f t="shared" si="1"/>
        <v>0.36648280694854463</v>
      </c>
      <c r="P23" s="22">
        <f t="shared" si="8"/>
        <v>0.36648280694854463</v>
      </c>
      <c r="S23" s="3">
        <v>22.555199278233623</v>
      </c>
      <c r="T23" s="1">
        <v>18</v>
      </c>
      <c r="U23" s="1">
        <v>1</v>
      </c>
      <c r="V23">
        <v>2630</v>
      </c>
      <c r="W23">
        <v>10</v>
      </c>
      <c r="X23" s="4">
        <v>0.98</v>
      </c>
      <c r="Y23">
        <v>742</v>
      </c>
      <c r="Z23" s="28">
        <f t="shared" si="9"/>
        <v>0</v>
      </c>
      <c r="AA23" s="28">
        <f t="shared" si="10"/>
        <v>0.4</v>
      </c>
      <c r="AB23" s="28">
        <f t="shared" si="11"/>
        <v>73.8</v>
      </c>
      <c r="AC23" s="28">
        <f t="shared" si="12"/>
        <v>0</v>
      </c>
      <c r="AD23" s="28">
        <f t="shared" si="13"/>
        <v>0</v>
      </c>
      <c r="AE23">
        <f t="shared" si="2"/>
        <v>0</v>
      </c>
      <c r="AF23">
        <f t="shared" si="3"/>
        <v>5.3908355795148251E-3</v>
      </c>
      <c r="AG23">
        <f t="shared" si="4"/>
        <v>0.99460916442048519</v>
      </c>
      <c r="AH23">
        <f t="shared" si="5"/>
        <v>0</v>
      </c>
      <c r="AI23">
        <f t="shared" si="6"/>
        <v>0</v>
      </c>
      <c r="AJ23">
        <v>0</v>
      </c>
      <c r="AK23">
        <v>4</v>
      </c>
      <c r="AL23">
        <v>738</v>
      </c>
      <c r="AM23">
        <v>0</v>
      </c>
      <c r="AN23">
        <v>0</v>
      </c>
      <c r="AO23" s="22">
        <f t="shared" si="14"/>
        <v>0</v>
      </c>
      <c r="AP23" s="22">
        <f t="shared" si="15"/>
        <v>1.6094379124341003</v>
      </c>
      <c r="AQ23" s="22">
        <f t="shared" si="16"/>
        <v>6.6052979209482015</v>
      </c>
      <c r="AR23" s="22">
        <f t="shared" si="17"/>
        <v>0</v>
      </c>
      <c r="AS23" s="22">
        <f t="shared" si="18"/>
        <v>0</v>
      </c>
    </row>
    <row r="24" spans="1:45" x14ac:dyDescent="0.25">
      <c r="A24" s="1" t="s">
        <v>7</v>
      </c>
      <c r="B24" s="2">
        <v>40009</v>
      </c>
      <c r="C24">
        <v>196</v>
      </c>
      <c r="D24" s="1">
        <v>2009</v>
      </c>
      <c r="E24">
        <v>308</v>
      </c>
      <c r="F24">
        <v>57850</v>
      </c>
      <c r="G24" s="44">
        <f t="shared" si="7"/>
        <v>1</v>
      </c>
      <c r="H24" s="6">
        <v>42.028750000000002</v>
      </c>
      <c r="I24" s="6">
        <v>-81.243620000000007</v>
      </c>
      <c r="J24">
        <v>42.566916666666664</v>
      </c>
      <c r="K24">
        <v>-81.47208333333333</v>
      </c>
      <c r="L24">
        <v>41.819366666666667</v>
      </c>
      <c r="M24">
        <v>-81.155166666666673</v>
      </c>
      <c r="N24" s="22">
        <f t="shared" si="0"/>
        <v>0.58465276514259223</v>
      </c>
      <c r="O24" s="22">
        <f t="shared" si="1"/>
        <v>0.22730018138038591</v>
      </c>
      <c r="P24" s="22">
        <f t="shared" si="8"/>
        <v>0.22730018138038591</v>
      </c>
      <c r="S24" s="3">
        <v>22.555199278233623</v>
      </c>
      <c r="T24" s="1">
        <v>16.763999463552018</v>
      </c>
      <c r="U24" s="1">
        <v>1</v>
      </c>
      <c r="V24">
        <v>2801</v>
      </c>
      <c r="W24">
        <v>10</v>
      </c>
      <c r="X24" s="4">
        <v>0.94</v>
      </c>
      <c r="Y24">
        <v>1235</v>
      </c>
      <c r="Z24" s="28">
        <f t="shared" si="9"/>
        <v>0</v>
      </c>
      <c r="AA24" s="28">
        <f t="shared" si="10"/>
        <v>0.3</v>
      </c>
      <c r="AB24" s="28">
        <f t="shared" si="11"/>
        <v>123.2</v>
      </c>
      <c r="AC24" s="28">
        <f t="shared" si="12"/>
        <v>0</v>
      </c>
      <c r="AD24" s="28">
        <f t="shared" si="13"/>
        <v>0</v>
      </c>
      <c r="AE24">
        <f t="shared" si="2"/>
        <v>0</v>
      </c>
      <c r="AF24">
        <f t="shared" si="3"/>
        <v>2.4291497975708503E-3</v>
      </c>
      <c r="AG24">
        <f t="shared" si="4"/>
        <v>0.99757085020242919</v>
      </c>
      <c r="AH24">
        <f t="shared" si="5"/>
        <v>0</v>
      </c>
      <c r="AI24">
        <f t="shared" si="6"/>
        <v>0</v>
      </c>
      <c r="AJ24">
        <v>0</v>
      </c>
      <c r="AK24">
        <v>3</v>
      </c>
      <c r="AL24">
        <v>1232</v>
      </c>
      <c r="AM24">
        <v>0</v>
      </c>
      <c r="AN24">
        <v>0</v>
      </c>
      <c r="AO24" s="22">
        <f t="shared" si="14"/>
        <v>0</v>
      </c>
      <c r="AP24" s="22">
        <f t="shared" si="15"/>
        <v>1.3862943611198906</v>
      </c>
      <c r="AQ24" s="22">
        <f t="shared" si="16"/>
        <v>7.1172055031643442</v>
      </c>
      <c r="AR24" s="22">
        <f t="shared" si="17"/>
        <v>0</v>
      </c>
      <c r="AS24" s="22">
        <f t="shared" si="18"/>
        <v>0</v>
      </c>
    </row>
    <row r="25" spans="1:45" x14ac:dyDescent="0.25">
      <c r="A25" s="1" t="s">
        <v>7</v>
      </c>
      <c r="B25" s="2">
        <v>40010</v>
      </c>
      <c r="C25">
        <v>197</v>
      </c>
      <c r="D25" s="1">
        <v>2009</v>
      </c>
      <c r="E25">
        <v>309</v>
      </c>
      <c r="F25">
        <v>57600</v>
      </c>
      <c r="G25" s="44">
        <f t="shared" si="7"/>
        <v>0</v>
      </c>
      <c r="H25" s="6">
        <v>41.637599999999999</v>
      </c>
      <c r="I25" s="6">
        <v>-81.547449999999998</v>
      </c>
      <c r="J25">
        <v>42.261233333333337</v>
      </c>
      <c r="K25">
        <v>-81.829883333333328</v>
      </c>
      <c r="L25">
        <v>41.621000000000002</v>
      </c>
      <c r="M25">
        <v>-81.539483333333337</v>
      </c>
      <c r="N25" s="22">
        <f t="shared" ref="N25:N88" si="19">SQRT(((I25-K25)^2)+((H25-J25)^2))</f>
        <v>0.68460727590511761</v>
      </c>
      <c r="O25" s="22">
        <f t="shared" ref="O25:O88" si="20">SQRT(((I25-M25)^2)+((H25-L25)^2))</f>
        <v>1.8412706964962663E-2</v>
      </c>
      <c r="P25" s="22">
        <f t="shared" si="8"/>
        <v>1.8412706964962663E-2</v>
      </c>
      <c r="S25" s="3">
        <v>11.582399629363213</v>
      </c>
      <c r="T25" s="1">
        <v>7.6199997561600075</v>
      </c>
      <c r="U25" s="1">
        <v>0</v>
      </c>
      <c r="V25">
        <v>2205</v>
      </c>
      <c r="W25">
        <v>10</v>
      </c>
      <c r="X25" s="4">
        <v>1.4</v>
      </c>
      <c r="Y25">
        <v>117</v>
      </c>
      <c r="Z25" s="28">
        <f t="shared" si="9"/>
        <v>0</v>
      </c>
      <c r="AA25" s="28">
        <f t="shared" si="10"/>
        <v>8.6</v>
      </c>
      <c r="AB25" s="28">
        <f t="shared" si="11"/>
        <v>0</v>
      </c>
      <c r="AC25" s="28">
        <f t="shared" si="12"/>
        <v>3.1</v>
      </c>
      <c r="AD25" s="28">
        <f t="shared" si="13"/>
        <v>0</v>
      </c>
      <c r="AE25">
        <f t="shared" si="2"/>
        <v>0</v>
      </c>
      <c r="AF25">
        <f t="shared" si="3"/>
        <v>0.7350427350427351</v>
      </c>
      <c r="AG25">
        <f t="shared" si="4"/>
        <v>0</v>
      </c>
      <c r="AH25">
        <f t="shared" si="5"/>
        <v>0.26495726495726496</v>
      </c>
      <c r="AI25">
        <f t="shared" si="6"/>
        <v>0</v>
      </c>
      <c r="AJ25">
        <v>0</v>
      </c>
      <c r="AK25">
        <v>86</v>
      </c>
      <c r="AL25">
        <v>0</v>
      </c>
      <c r="AM25">
        <v>31</v>
      </c>
      <c r="AN25">
        <v>0</v>
      </c>
      <c r="AO25" s="22">
        <f t="shared" si="14"/>
        <v>0</v>
      </c>
      <c r="AP25" s="22">
        <f t="shared" si="15"/>
        <v>4.4659081186545837</v>
      </c>
      <c r="AQ25" s="22">
        <f t="shared" si="16"/>
        <v>0</v>
      </c>
      <c r="AR25" s="22">
        <f t="shared" si="17"/>
        <v>3.4657359027997265</v>
      </c>
      <c r="AS25" s="22">
        <f t="shared" si="18"/>
        <v>0</v>
      </c>
    </row>
    <row r="26" spans="1:45" x14ac:dyDescent="0.25">
      <c r="A26" s="1" t="s">
        <v>7</v>
      </c>
      <c r="B26" s="2">
        <v>40010</v>
      </c>
      <c r="C26">
        <v>197</v>
      </c>
      <c r="D26" s="1">
        <v>2009</v>
      </c>
      <c r="E26">
        <v>310</v>
      </c>
      <c r="F26">
        <v>57600</v>
      </c>
      <c r="G26" s="44">
        <f t="shared" si="7"/>
        <v>0</v>
      </c>
      <c r="H26" s="6">
        <v>41.787570000000002</v>
      </c>
      <c r="I26" s="6">
        <v>-81.615129999999994</v>
      </c>
      <c r="J26">
        <v>42.261233333333337</v>
      </c>
      <c r="K26">
        <v>-81.829883333333328</v>
      </c>
      <c r="L26">
        <v>41.621000000000002</v>
      </c>
      <c r="M26">
        <v>-81.539483333333337</v>
      </c>
      <c r="N26" s="22">
        <f t="shared" si="19"/>
        <v>0.52007302133664235</v>
      </c>
      <c r="O26" s="22">
        <f t="shared" si="20"/>
        <v>0.18294256770302622</v>
      </c>
      <c r="P26" s="22">
        <f t="shared" si="8"/>
        <v>0.18294256770302622</v>
      </c>
      <c r="S26" s="3">
        <v>21.945599297740824</v>
      </c>
      <c r="T26" s="1">
        <v>7.6199997561600075</v>
      </c>
      <c r="U26" s="1">
        <v>0</v>
      </c>
      <c r="V26">
        <v>2347</v>
      </c>
      <c r="W26">
        <v>10</v>
      </c>
      <c r="X26" s="4">
        <v>1.39</v>
      </c>
      <c r="Y26">
        <v>34</v>
      </c>
      <c r="Z26" s="28">
        <f t="shared" si="9"/>
        <v>0</v>
      </c>
      <c r="AA26" s="28">
        <f t="shared" si="10"/>
        <v>3.1</v>
      </c>
      <c r="AB26" s="28">
        <f t="shared" si="11"/>
        <v>0.2</v>
      </c>
      <c r="AC26" s="28">
        <f t="shared" si="12"/>
        <v>0.1</v>
      </c>
      <c r="AD26" s="28">
        <f t="shared" si="13"/>
        <v>0</v>
      </c>
      <c r="AE26">
        <f t="shared" si="2"/>
        <v>0</v>
      </c>
      <c r="AF26">
        <f t="shared" si="3"/>
        <v>0.91176470588235292</v>
      </c>
      <c r="AG26">
        <f t="shared" si="4"/>
        <v>5.8823529411764705E-2</v>
      </c>
      <c r="AH26">
        <f t="shared" si="5"/>
        <v>2.9411764705882353E-2</v>
      </c>
      <c r="AI26">
        <f t="shared" si="6"/>
        <v>0</v>
      </c>
      <c r="AJ26">
        <v>0</v>
      </c>
      <c r="AK26">
        <v>31</v>
      </c>
      <c r="AL26">
        <v>2</v>
      </c>
      <c r="AM26">
        <v>1</v>
      </c>
      <c r="AN26">
        <v>0</v>
      </c>
      <c r="AO26" s="22">
        <f t="shared" si="14"/>
        <v>0</v>
      </c>
      <c r="AP26" s="22">
        <f t="shared" si="15"/>
        <v>3.4657359027997265</v>
      </c>
      <c r="AQ26" s="22">
        <f t="shared" si="16"/>
        <v>1.0986122886681098</v>
      </c>
      <c r="AR26" s="22">
        <f t="shared" si="17"/>
        <v>0.69314718055994529</v>
      </c>
      <c r="AS26" s="22">
        <f t="shared" si="18"/>
        <v>0</v>
      </c>
    </row>
    <row r="27" spans="1:45" x14ac:dyDescent="0.25">
      <c r="A27" s="1" t="s">
        <v>7</v>
      </c>
      <c r="B27" s="2">
        <v>40015</v>
      </c>
      <c r="C27">
        <v>202</v>
      </c>
      <c r="D27" s="1">
        <v>2009</v>
      </c>
      <c r="E27">
        <v>311</v>
      </c>
      <c r="F27">
        <v>57350</v>
      </c>
      <c r="G27" s="44">
        <f t="shared" si="7"/>
        <v>0</v>
      </c>
      <c r="H27" s="6">
        <v>41.981670000000001</v>
      </c>
      <c r="I27" s="6">
        <v>-82.219819999999999</v>
      </c>
      <c r="J27">
        <v>42.1434</v>
      </c>
      <c r="K27">
        <v>-82.285266666666672</v>
      </c>
      <c r="L27">
        <v>41.52558333333333</v>
      </c>
      <c r="M27">
        <v>-81.97645</v>
      </c>
      <c r="N27" s="22">
        <f t="shared" si="19"/>
        <v>0.17447022404346887</v>
      </c>
      <c r="O27" s="22">
        <f t="shared" si="20"/>
        <v>0.51695648212505718</v>
      </c>
      <c r="P27" s="22">
        <f t="shared" si="8"/>
        <v>0.17447022404346887</v>
      </c>
      <c r="S27" s="3">
        <v>19.811999366016021</v>
      </c>
      <c r="T27" s="1">
        <v>12.191999609856012</v>
      </c>
      <c r="U27" s="1">
        <v>0</v>
      </c>
      <c r="V27">
        <v>2314</v>
      </c>
      <c r="W27">
        <v>10</v>
      </c>
      <c r="X27" s="4">
        <v>0.91</v>
      </c>
      <c r="Y27">
        <v>941</v>
      </c>
      <c r="Z27" s="28">
        <f t="shared" si="9"/>
        <v>0</v>
      </c>
      <c r="AA27" s="28">
        <f t="shared" si="10"/>
        <v>1.8</v>
      </c>
      <c r="AB27" s="28">
        <f t="shared" si="11"/>
        <v>92</v>
      </c>
      <c r="AC27" s="28">
        <f t="shared" si="12"/>
        <v>0.2</v>
      </c>
      <c r="AD27" s="28">
        <f t="shared" si="13"/>
        <v>0</v>
      </c>
      <c r="AE27">
        <f t="shared" si="2"/>
        <v>0</v>
      </c>
      <c r="AF27">
        <f t="shared" si="3"/>
        <v>1.9128586609989374E-2</v>
      </c>
      <c r="AG27">
        <f t="shared" si="4"/>
        <v>0.97768331562167909</v>
      </c>
      <c r="AH27">
        <f t="shared" si="5"/>
        <v>2.1253985122210413E-3</v>
      </c>
      <c r="AI27">
        <f t="shared" si="6"/>
        <v>0</v>
      </c>
      <c r="AJ27">
        <v>0</v>
      </c>
      <c r="AK27">
        <v>18</v>
      </c>
      <c r="AL27">
        <v>920</v>
      </c>
      <c r="AM27">
        <v>2</v>
      </c>
      <c r="AN27">
        <v>0</v>
      </c>
      <c r="AO27" s="22">
        <f t="shared" si="14"/>
        <v>0</v>
      </c>
      <c r="AP27" s="22">
        <f t="shared" si="15"/>
        <v>2.9444389791664403</v>
      </c>
      <c r="AQ27" s="22">
        <f t="shared" si="16"/>
        <v>6.8254600362553068</v>
      </c>
      <c r="AR27" s="22">
        <f t="shared" si="17"/>
        <v>1.0986122886681098</v>
      </c>
      <c r="AS27" s="22">
        <f t="shared" si="18"/>
        <v>0</v>
      </c>
    </row>
    <row r="28" spans="1:45" x14ac:dyDescent="0.25">
      <c r="A28" s="1" t="s">
        <v>7</v>
      </c>
      <c r="B28" s="2">
        <v>40015</v>
      </c>
      <c r="C28">
        <v>202</v>
      </c>
      <c r="D28" s="1">
        <v>2009</v>
      </c>
      <c r="E28">
        <v>312</v>
      </c>
      <c r="F28">
        <v>57350</v>
      </c>
      <c r="G28" s="44">
        <f t="shared" si="7"/>
        <v>0</v>
      </c>
      <c r="H28" s="6">
        <v>41.953249999999997</v>
      </c>
      <c r="I28" s="6">
        <v>-82.195819999999998</v>
      </c>
      <c r="J28">
        <v>42.1434</v>
      </c>
      <c r="K28">
        <v>-82.285266666666672</v>
      </c>
      <c r="L28">
        <v>41.52558333333333</v>
      </c>
      <c r="M28">
        <v>-81.97645</v>
      </c>
      <c r="N28" s="22">
        <f t="shared" si="19"/>
        <v>0.21013740428058067</v>
      </c>
      <c r="O28" s="22">
        <f t="shared" si="20"/>
        <v>0.48064745362664429</v>
      </c>
      <c r="P28" s="22">
        <f t="shared" si="8"/>
        <v>0.21013740428058067</v>
      </c>
      <c r="S28" s="3">
        <v>19.811999366016021</v>
      </c>
      <c r="T28" s="1">
        <v>12.191999609856012</v>
      </c>
      <c r="U28" s="1">
        <v>0</v>
      </c>
      <c r="V28">
        <v>2406</v>
      </c>
      <c r="W28">
        <v>10</v>
      </c>
      <c r="X28" s="4">
        <v>0.96</v>
      </c>
      <c r="Y28">
        <v>1077</v>
      </c>
      <c r="Z28" s="28">
        <f t="shared" si="9"/>
        <v>0</v>
      </c>
      <c r="AA28" s="28">
        <f t="shared" si="10"/>
        <v>5.5</v>
      </c>
      <c r="AB28" s="28">
        <f t="shared" si="11"/>
        <v>101.5</v>
      </c>
      <c r="AC28" s="28">
        <f t="shared" si="12"/>
        <v>0.4</v>
      </c>
      <c r="AD28" s="28">
        <f t="shared" si="13"/>
        <v>0</v>
      </c>
      <c r="AE28">
        <f t="shared" si="2"/>
        <v>0</v>
      </c>
      <c r="AF28">
        <f t="shared" si="3"/>
        <v>5.1067780872794802E-2</v>
      </c>
      <c r="AG28">
        <f t="shared" si="4"/>
        <v>0.94243268337975861</v>
      </c>
      <c r="AH28">
        <f t="shared" si="5"/>
        <v>3.7140204271123491E-3</v>
      </c>
      <c r="AI28">
        <f t="shared" si="6"/>
        <v>0</v>
      </c>
      <c r="AJ28">
        <v>0</v>
      </c>
      <c r="AK28">
        <v>55</v>
      </c>
      <c r="AL28">
        <v>1015</v>
      </c>
      <c r="AM28">
        <v>4</v>
      </c>
      <c r="AN28">
        <v>0</v>
      </c>
      <c r="AO28" s="22">
        <f t="shared" si="14"/>
        <v>0</v>
      </c>
      <c r="AP28" s="22">
        <f t="shared" si="15"/>
        <v>4.0253516907351496</v>
      </c>
      <c r="AQ28" s="22">
        <f t="shared" si="16"/>
        <v>6.9236286281384274</v>
      </c>
      <c r="AR28" s="22">
        <f t="shared" si="17"/>
        <v>1.6094379124341003</v>
      </c>
      <c r="AS28" s="22">
        <f t="shared" si="18"/>
        <v>0</v>
      </c>
    </row>
    <row r="29" spans="1:45" x14ac:dyDescent="0.25">
      <c r="A29" s="1" t="s">
        <v>7</v>
      </c>
      <c r="B29" s="2">
        <v>40015</v>
      </c>
      <c r="C29">
        <v>202</v>
      </c>
      <c r="D29" s="1">
        <v>2009</v>
      </c>
      <c r="E29">
        <v>313</v>
      </c>
      <c r="F29">
        <v>57350</v>
      </c>
      <c r="G29" s="44">
        <f t="shared" si="7"/>
        <v>0</v>
      </c>
      <c r="H29" s="13">
        <v>41.859119999999997</v>
      </c>
      <c r="I29" s="6">
        <v>-82.148420000000002</v>
      </c>
      <c r="J29">
        <v>42.1434</v>
      </c>
      <c r="K29">
        <v>-82.285266666666672</v>
      </c>
      <c r="L29">
        <v>41.52558333333333</v>
      </c>
      <c r="M29">
        <v>-81.97645</v>
      </c>
      <c r="N29" s="22">
        <f t="shared" si="19"/>
        <v>0.31550297712982089</v>
      </c>
      <c r="O29" s="22">
        <f t="shared" si="20"/>
        <v>0.37526042811774346</v>
      </c>
      <c r="P29" s="22">
        <f t="shared" si="8"/>
        <v>0.31550297712982089</v>
      </c>
      <c r="S29" s="3">
        <v>19.811999366016021</v>
      </c>
      <c r="T29" s="21">
        <v>12.191999609856012</v>
      </c>
      <c r="U29" s="21">
        <v>0</v>
      </c>
      <c r="V29">
        <v>2533</v>
      </c>
      <c r="W29">
        <v>10</v>
      </c>
      <c r="X29" s="4">
        <v>0.95</v>
      </c>
      <c r="Y29">
        <v>327</v>
      </c>
      <c r="Z29" s="28">
        <f t="shared" si="9"/>
        <v>0</v>
      </c>
      <c r="AA29" s="28">
        <f t="shared" si="10"/>
        <v>7.2</v>
      </c>
      <c r="AB29" s="28">
        <f t="shared" si="11"/>
        <v>17.8</v>
      </c>
      <c r="AC29" s="28">
        <f t="shared" si="12"/>
        <v>7.3</v>
      </c>
      <c r="AD29" s="28">
        <f t="shared" si="13"/>
        <v>0.1</v>
      </c>
      <c r="AE29">
        <f t="shared" si="2"/>
        <v>0</v>
      </c>
      <c r="AF29">
        <f t="shared" si="3"/>
        <v>0.22018348623853212</v>
      </c>
      <c r="AG29">
        <f t="shared" si="4"/>
        <v>0.54434250764525993</v>
      </c>
      <c r="AH29">
        <f t="shared" si="5"/>
        <v>0.22324159021406728</v>
      </c>
      <c r="AI29">
        <f t="shared" si="6"/>
        <v>3.0581039755351682E-3</v>
      </c>
      <c r="AJ29">
        <v>0</v>
      </c>
      <c r="AK29">
        <v>72</v>
      </c>
      <c r="AL29">
        <v>178</v>
      </c>
      <c r="AM29">
        <v>73</v>
      </c>
      <c r="AN29">
        <v>1</v>
      </c>
      <c r="AO29" s="22">
        <f t="shared" si="14"/>
        <v>0</v>
      </c>
      <c r="AP29" s="22">
        <f t="shared" si="15"/>
        <v>4.290459441148391</v>
      </c>
      <c r="AQ29" s="22">
        <f t="shared" si="16"/>
        <v>5.1873858058407549</v>
      </c>
      <c r="AR29" s="22">
        <f t="shared" si="17"/>
        <v>4.3040650932041702</v>
      </c>
      <c r="AS29" s="22">
        <f t="shared" si="18"/>
        <v>0.69314718055994529</v>
      </c>
    </row>
    <row r="30" spans="1:45" x14ac:dyDescent="0.25">
      <c r="A30" s="1" t="s">
        <v>7</v>
      </c>
      <c r="B30" s="2">
        <v>40015</v>
      </c>
      <c r="C30">
        <v>202</v>
      </c>
      <c r="D30" s="1">
        <v>2009</v>
      </c>
      <c r="E30">
        <v>314</v>
      </c>
      <c r="F30">
        <v>57350</v>
      </c>
      <c r="G30" s="44">
        <f t="shared" si="7"/>
        <v>0</v>
      </c>
      <c r="H30" s="6">
        <v>41.813499999999998</v>
      </c>
      <c r="I30" s="6">
        <v>-82.127970000000005</v>
      </c>
      <c r="J30">
        <v>42.1434</v>
      </c>
      <c r="K30">
        <v>-82.285266666666672</v>
      </c>
      <c r="L30">
        <v>41.52558333333333</v>
      </c>
      <c r="M30">
        <v>-81.97645</v>
      </c>
      <c r="N30" s="22">
        <f t="shared" si="19"/>
        <v>0.36548084949070314</v>
      </c>
      <c r="O30" s="22">
        <f t="shared" si="20"/>
        <v>0.32535260463756327</v>
      </c>
      <c r="P30" s="22">
        <f t="shared" si="8"/>
        <v>0.32535260463756327</v>
      </c>
      <c r="S30" s="3">
        <v>21.335999317248021</v>
      </c>
      <c r="T30" s="1">
        <v>15.239999512320015</v>
      </c>
      <c r="U30" s="1">
        <v>1</v>
      </c>
      <c r="V30">
        <v>2632</v>
      </c>
      <c r="W30">
        <v>10</v>
      </c>
      <c r="X30" s="4">
        <v>0.96</v>
      </c>
      <c r="Y30">
        <v>1042</v>
      </c>
      <c r="Z30" s="28">
        <f t="shared" si="9"/>
        <v>0</v>
      </c>
      <c r="AA30" s="28">
        <f t="shared" si="10"/>
        <v>1.8</v>
      </c>
      <c r="AB30" s="28">
        <f t="shared" si="11"/>
        <v>95.5</v>
      </c>
      <c r="AC30" s="28">
        <f t="shared" si="12"/>
        <v>6.9</v>
      </c>
      <c r="AD30" s="28">
        <f t="shared" si="13"/>
        <v>0</v>
      </c>
      <c r="AE30">
        <f t="shared" si="2"/>
        <v>0</v>
      </c>
      <c r="AF30">
        <f t="shared" si="3"/>
        <v>1.7274472168905951E-2</v>
      </c>
      <c r="AG30">
        <f t="shared" si="4"/>
        <v>0.91650671785028792</v>
      </c>
      <c r="AH30">
        <f t="shared" si="5"/>
        <v>6.6218809980806148E-2</v>
      </c>
      <c r="AI30">
        <f t="shared" si="6"/>
        <v>0</v>
      </c>
      <c r="AJ30">
        <v>0</v>
      </c>
      <c r="AK30">
        <v>18</v>
      </c>
      <c r="AL30">
        <v>955</v>
      </c>
      <c r="AM30">
        <v>69</v>
      </c>
      <c r="AN30">
        <v>0</v>
      </c>
      <c r="AO30" s="22">
        <f t="shared" si="14"/>
        <v>0</v>
      </c>
      <c r="AP30" s="22">
        <f t="shared" si="15"/>
        <v>2.9444389791664403</v>
      </c>
      <c r="AQ30" s="22">
        <f t="shared" si="16"/>
        <v>6.8627579130514009</v>
      </c>
      <c r="AR30" s="22">
        <f t="shared" si="17"/>
        <v>4.2484952420493594</v>
      </c>
      <c r="AS30" s="22">
        <f t="shared" si="18"/>
        <v>0</v>
      </c>
    </row>
    <row r="31" spans="1:45" x14ac:dyDescent="0.25">
      <c r="A31" s="1" t="s">
        <v>7</v>
      </c>
      <c r="B31" s="2">
        <v>40015</v>
      </c>
      <c r="C31">
        <v>202</v>
      </c>
      <c r="D31" s="1">
        <v>2009</v>
      </c>
      <c r="E31">
        <v>315</v>
      </c>
      <c r="F31">
        <v>57350</v>
      </c>
      <c r="G31" s="44">
        <f t="shared" si="7"/>
        <v>0</v>
      </c>
      <c r="H31" s="6">
        <v>41.770719999999997</v>
      </c>
      <c r="I31" s="6">
        <v>-82.105429999999998</v>
      </c>
      <c r="J31">
        <v>42.1434</v>
      </c>
      <c r="K31">
        <v>-82.285266666666672</v>
      </c>
      <c r="L31">
        <v>41.52558333333333</v>
      </c>
      <c r="M31">
        <v>-81.97645</v>
      </c>
      <c r="N31" s="22">
        <f t="shared" si="19"/>
        <v>0.41380141260969883</v>
      </c>
      <c r="O31" s="22">
        <f t="shared" si="20"/>
        <v>0.27699788039702461</v>
      </c>
      <c r="P31" s="22">
        <f t="shared" si="8"/>
        <v>0.27699788039702461</v>
      </c>
      <c r="S31" s="3">
        <v>21.335999317248021</v>
      </c>
      <c r="T31" s="1">
        <v>15.239999512320015</v>
      </c>
      <c r="U31" s="1">
        <v>1</v>
      </c>
      <c r="V31">
        <v>2733</v>
      </c>
      <c r="W31">
        <v>10</v>
      </c>
      <c r="X31" s="4">
        <v>0.96</v>
      </c>
      <c r="Y31">
        <v>1241</v>
      </c>
      <c r="Z31" s="28">
        <f t="shared" si="9"/>
        <v>0</v>
      </c>
      <c r="AA31" s="28">
        <f t="shared" si="10"/>
        <v>0.8</v>
      </c>
      <c r="AB31" s="28">
        <f t="shared" si="11"/>
        <v>122.7</v>
      </c>
      <c r="AC31" s="28">
        <f t="shared" si="12"/>
        <v>0.6</v>
      </c>
      <c r="AD31" s="28">
        <f t="shared" si="13"/>
        <v>0</v>
      </c>
      <c r="AE31">
        <f t="shared" si="2"/>
        <v>0</v>
      </c>
      <c r="AF31">
        <f t="shared" si="3"/>
        <v>6.4464141821112004E-3</v>
      </c>
      <c r="AG31">
        <f t="shared" si="4"/>
        <v>0.98871877518130535</v>
      </c>
      <c r="AH31">
        <f t="shared" si="5"/>
        <v>4.8348106365834007E-3</v>
      </c>
      <c r="AI31">
        <f t="shared" si="6"/>
        <v>0</v>
      </c>
      <c r="AJ31">
        <v>0</v>
      </c>
      <c r="AK31">
        <v>8</v>
      </c>
      <c r="AL31">
        <v>1227</v>
      </c>
      <c r="AM31">
        <v>6</v>
      </c>
      <c r="AN31">
        <v>0</v>
      </c>
      <c r="AO31" s="22">
        <f t="shared" si="14"/>
        <v>0</v>
      </c>
      <c r="AP31" s="22">
        <f t="shared" si="15"/>
        <v>2.1972245773362196</v>
      </c>
      <c r="AQ31" s="22">
        <f t="shared" si="16"/>
        <v>7.1131421087070876</v>
      </c>
      <c r="AR31" s="22">
        <f t="shared" si="17"/>
        <v>1.9459101490553132</v>
      </c>
      <c r="AS31" s="22">
        <f t="shared" si="18"/>
        <v>0</v>
      </c>
    </row>
    <row r="32" spans="1:45" x14ac:dyDescent="0.25">
      <c r="A32" s="1" t="s">
        <v>10</v>
      </c>
      <c r="B32" s="2">
        <v>40007</v>
      </c>
      <c r="C32">
        <v>194</v>
      </c>
      <c r="D32" s="1">
        <v>2009</v>
      </c>
      <c r="E32" s="7">
        <v>2000</v>
      </c>
      <c r="F32">
        <v>58100</v>
      </c>
      <c r="G32" s="44">
        <f t="shared" si="7"/>
        <v>1</v>
      </c>
      <c r="H32" s="6">
        <v>42.386833333333335</v>
      </c>
      <c r="I32" s="6">
        <v>-80.919499999999999</v>
      </c>
      <c r="J32">
        <v>42.632766666666669</v>
      </c>
      <c r="K32">
        <v>-81.01636666666667</v>
      </c>
      <c r="L32">
        <v>41.96221666666667</v>
      </c>
      <c r="M32">
        <v>-80.744650000000007</v>
      </c>
      <c r="N32" s="22">
        <f t="shared" si="19"/>
        <v>0.26432244618184875</v>
      </c>
      <c r="O32" s="22">
        <f t="shared" si="20"/>
        <v>0.45920783541998411</v>
      </c>
      <c r="P32" s="22">
        <f t="shared" si="8"/>
        <v>0.26432244618184875</v>
      </c>
      <c r="S32" s="8">
        <v>21.4</v>
      </c>
      <c r="T32" s="48">
        <v>17</v>
      </c>
      <c r="U32" s="48">
        <v>1</v>
      </c>
      <c r="V32" s="7">
        <v>2211</v>
      </c>
      <c r="W32" s="7">
        <v>20</v>
      </c>
      <c r="X32" s="4">
        <v>1.1093333333333333</v>
      </c>
      <c r="Y32">
        <v>1630</v>
      </c>
      <c r="Z32" s="28">
        <f t="shared" si="9"/>
        <v>0</v>
      </c>
      <c r="AA32" s="28">
        <f t="shared" si="10"/>
        <v>0</v>
      </c>
      <c r="AB32" s="28">
        <f t="shared" si="11"/>
        <v>80.95</v>
      </c>
      <c r="AC32" s="28">
        <f t="shared" si="12"/>
        <v>0</v>
      </c>
      <c r="AD32" s="28">
        <f t="shared" si="13"/>
        <v>0</v>
      </c>
      <c r="AE32">
        <f t="shared" si="2"/>
        <v>0</v>
      </c>
      <c r="AF32">
        <f t="shared" si="3"/>
        <v>0</v>
      </c>
      <c r="AG32">
        <f t="shared" si="4"/>
        <v>0.99325153374233133</v>
      </c>
      <c r="AH32">
        <f t="shared" si="5"/>
        <v>0</v>
      </c>
      <c r="AI32">
        <f t="shared" si="6"/>
        <v>0</v>
      </c>
      <c r="AJ32">
        <v>0</v>
      </c>
      <c r="AK32">
        <v>0</v>
      </c>
      <c r="AL32">
        <v>1619</v>
      </c>
      <c r="AM32">
        <v>0</v>
      </c>
      <c r="AN32">
        <v>0</v>
      </c>
      <c r="AO32" s="22">
        <f t="shared" si="14"/>
        <v>0</v>
      </c>
      <c r="AP32" s="22">
        <f t="shared" si="15"/>
        <v>0</v>
      </c>
      <c r="AQ32" s="22">
        <f t="shared" si="16"/>
        <v>7.3901814282264295</v>
      </c>
      <c r="AR32" s="22">
        <f t="shared" si="17"/>
        <v>0</v>
      </c>
      <c r="AS32" s="22">
        <f t="shared" si="18"/>
        <v>0</v>
      </c>
    </row>
    <row r="33" spans="1:45" x14ac:dyDescent="0.25">
      <c r="A33" s="1" t="s">
        <v>10</v>
      </c>
      <c r="B33" s="2">
        <v>40007</v>
      </c>
      <c r="C33">
        <v>194</v>
      </c>
      <c r="D33" s="1">
        <v>2009</v>
      </c>
      <c r="E33" s="7">
        <v>2001</v>
      </c>
      <c r="F33">
        <v>58100</v>
      </c>
      <c r="G33" s="44">
        <f t="shared" si="7"/>
        <v>1</v>
      </c>
      <c r="H33" s="6">
        <v>42.387</v>
      </c>
      <c r="I33" s="6">
        <v>-80.922666666666672</v>
      </c>
      <c r="J33">
        <v>42.632766666666669</v>
      </c>
      <c r="K33">
        <v>-81.01636666666667</v>
      </c>
      <c r="L33">
        <v>41.96221666666667</v>
      </c>
      <c r="M33">
        <v>-80.744650000000007</v>
      </c>
      <c r="N33" s="22">
        <f t="shared" si="19"/>
        <v>0.26302270708903613</v>
      </c>
      <c r="O33" s="22">
        <f t="shared" si="20"/>
        <v>0.46057661022775098</v>
      </c>
      <c r="P33" s="22">
        <f t="shared" si="8"/>
        <v>0.26302270708903613</v>
      </c>
      <c r="S33" s="8">
        <v>20.9</v>
      </c>
      <c r="T33" s="48">
        <v>17</v>
      </c>
      <c r="U33" s="48">
        <v>1</v>
      </c>
      <c r="V33" s="7">
        <v>2304</v>
      </c>
      <c r="W33" s="7">
        <v>20</v>
      </c>
      <c r="X33" s="9">
        <v>1.18</v>
      </c>
      <c r="Y33">
        <v>52</v>
      </c>
      <c r="Z33" s="28">
        <f t="shared" si="9"/>
        <v>0</v>
      </c>
      <c r="AA33" s="28">
        <f t="shared" si="10"/>
        <v>0</v>
      </c>
      <c r="AB33" s="28">
        <f t="shared" si="11"/>
        <v>2.5</v>
      </c>
      <c r="AC33" s="28">
        <f t="shared" si="12"/>
        <v>0</v>
      </c>
      <c r="AD33" s="28">
        <f t="shared" si="13"/>
        <v>0</v>
      </c>
      <c r="AE33">
        <v>0</v>
      </c>
      <c r="AF33">
        <v>0</v>
      </c>
      <c r="AG33">
        <v>0.96153846153846156</v>
      </c>
      <c r="AH33">
        <v>0</v>
      </c>
      <c r="AI33">
        <v>0</v>
      </c>
      <c r="AJ33">
        <v>0</v>
      </c>
      <c r="AK33">
        <v>0</v>
      </c>
      <c r="AL33">
        <v>50</v>
      </c>
      <c r="AM33">
        <v>0</v>
      </c>
      <c r="AN33">
        <v>0</v>
      </c>
      <c r="AO33" s="22">
        <f t="shared" si="14"/>
        <v>0</v>
      </c>
      <c r="AP33" s="22">
        <f t="shared" si="15"/>
        <v>0</v>
      </c>
      <c r="AQ33" s="22">
        <f t="shared" si="16"/>
        <v>3.9318256327243257</v>
      </c>
      <c r="AR33" s="22">
        <f t="shared" si="17"/>
        <v>0</v>
      </c>
      <c r="AS33" s="22">
        <f t="shared" si="18"/>
        <v>0</v>
      </c>
    </row>
    <row r="34" spans="1:45" x14ac:dyDescent="0.25">
      <c r="A34" s="1" t="s">
        <v>10</v>
      </c>
      <c r="B34" s="2">
        <v>40007</v>
      </c>
      <c r="C34">
        <v>194</v>
      </c>
      <c r="D34" s="1">
        <v>2009</v>
      </c>
      <c r="E34" s="7">
        <v>2002</v>
      </c>
      <c r="F34">
        <v>58100</v>
      </c>
      <c r="G34" s="44">
        <f t="shared" si="7"/>
        <v>1</v>
      </c>
      <c r="H34" s="6">
        <v>42.385166666666663</v>
      </c>
      <c r="I34" s="6">
        <v>-80.917333333333332</v>
      </c>
      <c r="J34">
        <v>42.632766666666669</v>
      </c>
      <c r="K34">
        <v>-81.01636666666667</v>
      </c>
      <c r="L34">
        <v>41.96221666666667</v>
      </c>
      <c r="M34">
        <v>-80.744650000000007</v>
      </c>
      <c r="N34" s="22">
        <f t="shared" si="19"/>
        <v>0.26667088538330319</v>
      </c>
      <c r="O34" s="22">
        <f t="shared" si="20"/>
        <v>0.45684377648283908</v>
      </c>
      <c r="P34" s="22">
        <f t="shared" si="8"/>
        <v>0.26667088538330319</v>
      </c>
      <c r="S34" s="8">
        <v>20.9</v>
      </c>
      <c r="T34" s="48">
        <v>13</v>
      </c>
      <c r="U34" s="48">
        <v>1</v>
      </c>
      <c r="V34" s="7">
        <v>2400</v>
      </c>
      <c r="W34" s="7">
        <v>20</v>
      </c>
      <c r="X34" s="9">
        <v>1.24</v>
      </c>
      <c r="Y34">
        <v>7</v>
      </c>
      <c r="Z34" s="28">
        <f t="shared" si="9"/>
        <v>0</v>
      </c>
      <c r="AA34" s="28">
        <f t="shared" si="10"/>
        <v>0</v>
      </c>
      <c r="AB34" s="28">
        <f t="shared" si="11"/>
        <v>0.35</v>
      </c>
      <c r="AC34" s="28">
        <f t="shared" si="12"/>
        <v>0</v>
      </c>
      <c r="AD34" s="28">
        <f t="shared" si="13"/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7</v>
      </c>
      <c r="AM34">
        <v>0</v>
      </c>
      <c r="AN34">
        <v>0</v>
      </c>
      <c r="AO34" s="22">
        <f t="shared" si="14"/>
        <v>0</v>
      </c>
      <c r="AP34" s="22">
        <f t="shared" si="15"/>
        <v>0</v>
      </c>
      <c r="AQ34" s="22">
        <f t="shared" si="16"/>
        <v>2.0794415416798357</v>
      </c>
      <c r="AR34" s="22">
        <f t="shared" si="17"/>
        <v>0</v>
      </c>
      <c r="AS34" s="22">
        <f t="shared" si="18"/>
        <v>0</v>
      </c>
    </row>
    <row r="35" spans="1:45" x14ac:dyDescent="0.25">
      <c r="A35" s="1" t="s">
        <v>10</v>
      </c>
      <c r="B35" s="2">
        <v>40008</v>
      </c>
      <c r="C35">
        <v>195</v>
      </c>
      <c r="D35" s="1">
        <v>2009</v>
      </c>
      <c r="E35" s="7">
        <v>2003</v>
      </c>
      <c r="F35">
        <v>58100</v>
      </c>
      <c r="G35" s="44">
        <f t="shared" si="7"/>
        <v>1</v>
      </c>
      <c r="H35" s="6">
        <v>42.572000000000003</v>
      </c>
      <c r="I35" s="6">
        <v>-80.995833333333337</v>
      </c>
      <c r="J35">
        <v>42.632766666666669</v>
      </c>
      <c r="K35">
        <v>-81.01636666666667</v>
      </c>
      <c r="L35">
        <v>41.96221666666667</v>
      </c>
      <c r="M35">
        <v>-80.744650000000007</v>
      </c>
      <c r="N35" s="22">
        <f t="shared" si="19"/>
        <v>6.4142073209052505E-2</v>
      </c>
      <c r="O35" s="22">
        <f t="shared" si="20"/>
        <v>0.6594913043820616</v>
      </c>
      <c r="P35" s="22">
        <f t="shared" si="8"/>
        <v>6.4142073209052505E-2</v>
      </c>
      <c r="S35" s="8">
        <v>16.7</v>
      </c>
      <c r="T35" s="48">
        <v>11</v>
      </c>
      <c r="U35" s="48">
        <v>0</v>
      </c>
      <c r="V35" s="7">
        <v>2623</v>
      </c>
      <c r="W35" s="7">
        <v>20</v>
      </c>
      <c r="X35" s="9">
        <v>1.1200000000000001</v>
      </c>
      <c r="Y35">
        <v>684</v>
      </c>
      <c r="Z35" s="28">
        <f t="shared" si="9"/>
        <v>0</v>
      </c>
      <c r="AA35" s="28">
        <f t="shared" si="10"/>
        <v>0</v>
      </c>
      <c r="AB35" s="28">
        <f t="shared" si="11"/>
        <v>34.200000000000003</v>
      </c>
      <c r="AC35" s="28">
        <f t="shared" si="12"/>
        <v>0</v>
      </c>
      <c r="AD35" s="28">
        <f t="shared" si="13"/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684</v>
      </c>
      <c r="AM35">
        <v>0</v>
      </c>
      <c r="AN35">
        <v>0</v>
      </c>
      <c r="AO35" s="22">
        <f t="shared" si="14"/>
        <v>0</v>
      </c>
      <c r="AP35" s="22">
        <f t="shared" si="15"/>
        <v>0</v>
      </c>
      <c r="AQ35" s="22">
        <f t="shared" si="16"/>
        <v>6.5294188382622256</v>
      </c>
      <c r="AR35" s="22">
        <f t="shared" si="17"/>
        <v>0</v>
      </c>
      <c r="AS35" s="22">
        <f t="shared" si="18"/>
        <v>0</v>
      </c>
    </row>
    <row r="36" spans="1:45" x14ac:dyDescent="0.25">
      <c r="A36" s="1" t="s">
        <v>10</v>
      </c>
      <c r="B36" s="2">
        <v>40008</v>
      </c>
      <c r="C36">
        <v>195</v>
      </c>
      <c r="D36" s="1">
        <v>2009</v>
      </c>
      <c r="E36" s="7">
        <v>2004</v>
      </c>
      <c r="F36">
        <v>58100</v>
      </c>
      <c r="G36" s="44">
        <f t="shared" si="7"/>
        <v>1</v>
      </c>
      <c r="H36" s="6">
        <v>42.57416666666667</v>
      </c>
      <c r="I36" s="6">
        <v>-81.003166666666672</v>
      </c>
      <c r="J36">
        <v>42.632766666666669</v>
      </c>
      <c r="K36">
        <v>-81.01636666666667</v>
      </c>
      <c r="L36">
        <v>41.96221666666667</v>
      </c>
      <c r="M36">
        <v>-80.744650000000007</v>
      </c>
      <c r="N36" s="22">
        <f t="shared" si="19"/>
        <v>6.0068294465547747E-2</v>
      </c>
      <c r="O36" s="22">
        <f t="shared" si="20"/>
        <v>0.66431443567368298</v>
      </c>
      <c r="P36" s="22">
        <f t="shared" si="8"/>
        <v>6.0068294465547747E-2</v>
      </c>
      <c r="S36" s="8">
        <v>17.399999999999999</v>
      </c>
      <c r="T36" s="48">
        <v>9</v>
      </c>
      <c r="U36" s="48">
        <v>0</v>
      </c>
      <c r="V36" s="7">
        <v>2711</v>
      </c>
      <c r="W36" s="7">
        <v>20</v>
      </c>
      <c r="X36" s="9">
        <v>1.08</v>
      </c>
      <c r="Y36">
        <v>119</v>
      </c>
      <c r="Z36" s="28">
        <f t="shared" si="9"/>
        <v>0</v>
      </c>
      <c r="AA36" s="28">
        <f t="shared" si="10"/>
        <v>0</v>
      </c>
      <c r="AB36" s="28">
        <f t="shared" si="11"/>
        <v>5.95</v>
      </c>
      <c r="AC36" s="28">
        <f t="shared" si="12"/>
        <v>0</v>
      </c>
      <c r="AD36" s="28">
        <f t="shared" si="13"/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119</v>
      </c>
      <c r="AM36">
        <v>0</v>
      </c>
      <c r="AN36">
        <v>0</v>
      </c>
      <c r="AO36" s="22">
        <f t="shared" si="14"/>
        <v>0</v>
      </c>
      <c r="AP36" s="22">
        <f t="shared" si="15"/>
        <v>0</v>
      </c>
      <c r="AQ36" s="22">
        <f t="shared" si="16"/>
        <v>4.7874917427820458</v>
      </c>
      <c r="AR36" s="22">
        <f t="shared" si="17"/>
        <v>0</v>
      </c>
      <c r="AS36" s="22">
        <f t="shared" si="18"/>
        <v>0</v>
      </c>
    </row>
    <row r="37" spans="1:45" x14ac:dyDescent="0.25">
      <c r="A37" s="1" t="s">
        <v>10</v>
      </c>
      <c r="B37" s="2">
        <v>40008</v>
      </c>
      <c r="C37">
        <v>195</v>
      </c>
      <c r="D37" s="1">
        <v>2009</v>
      </c>
      <c r="E37" s="7">
        <v>2005</v>
      </c>
      <c r="F37">
        <v>58100</v>
      </c>
      <c r="G37" s="44">
        <f t="shared" si="7"/>
        <v>1</v>
      </c>
      <c r="H37" s="6">
        <v>42.575166666666668</v>
      </c>
      <c r="I37" s="6">
        <v>-81.005833333333328</v>
      </c>
      <c r="J37">
        <v>42.632766666666669</v>
      </c>
      <c r="K37">
        <v>-81.01636666666667</v>
      </c>
      <c r="L37">
        <v>41.96221666666667</v>
      </c>
      <c r="M37">
        <v>-80.744650000000007</v>
      </c>
      <c r="N37" s="22">
        <f t="shared" si="19"/>
        <v>5.8555197131521818E-2</v>
      </c>
      <c r="O37" s="22">
        <f t="shared" si="20"/>
        <v>0.66627654627121757</v>
      </c>
      <c r="P37" s="22">
        <f t="shared" si="8"/>
        <v>5.8555197131521818E-2</v>
      </c>
      <c r="S37" s="8">
        <v>17.5</v>
      </c>
      <c r="T37" s="48">
        <v>7</v>
      </c>
      <c r="U37" s="48">
        <v>0</v>
      </c>
      <c r="V37" s="7">
        <v>2754</v>
      </c>
      <c r="W37" s="7">
        <v>20</v>
      </c>
      <c r="X37" s="9">
        <v>1.0900000000000001</v>
      </c>
      <c r="Y37">
        <v>525</v>
      </c>
      <c r="Z37" s="28">
        <f t="shared" si="9"/>
        <v>0</v>
      </c>
      <c r="AA37" s="28">
        <f t="shared" si="10"/>
        <v>0</v>
      </c>
      <c r="AB37" s="28">
        <f t="shared" si="11"/>
        <v>26.25</v>
      </c>
      <c r="AC37" s="28">
        <f t="shared" si="12"/>
        <v>0</v>
      </c>
      <c r="AD37" s="28">
        <f t="shared" si="13"/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525</v>
      </c>
      <c r="AM37">
        <v>0</v>
      </c>
      <c r="AN37">
        <v>0</v>
      </c>
      <c r="AO37" s="22">
        <f t="shared" si="14"/>
        <v>0</v>
      </c>
      <c r="AP37" s="22">
        <f t="shared" si="15"/>
        <v>0</v>
      </c>
      <c r="AQ37" s="22">
        <f t="shared" si="16"/>
        <v>6.2653012127377101</v>
      </c>
      <c r="AR37" s="22">
        <f t="shared" si="17"/>
        <v>0</v>
      </c>
      <c r="AS37" s="22">
        <f t="shared" si="18"/>
        <v>0</v>
      </c>
    </row>
    <row r="38" spans="1:45" x14ac:dyDescent="0.25">
      <c r="A38" s="1" t="s">
        <v>10</v>
      </c>
      <c r="B38" s="2">
        <v>40008</v>
      </c>
      <c r="C38">
        <v>195</v>
      </c>
      <c r="D38" s="1">
        <v>2009</v>
      </c>
      <c r="E38" s="7">
        <v>2006</v>
      </c>
      <c r="F38">
        <v>58100</v>
      </c>
      <c r="G38" s="44">
        <f t="shared" si="7"/>
        <v>1</v>
      </c>
      <c r="H38" s="6">
        <v>42.630499999999998</v>
      </c>
      <c r="I38" s="6">
        <v>-81.013333333333335</v>
      </c>
      <c r="J38">
        <v>42.632766666666669</v>
      </c>
      <c r="K38">
        <v>-81.01636666666667</v>
      </c>
      <c r="L38">
        <v>41.96221666666667</v>
      </c>
      <c r="M38">
        <v>-80.744650000000007</v>
      </c>
      <c r="N38" s="22">
        <f t="shared" si="19"/>
        <v>3.7866725352102065E-3</v>
      </c>
      <c r="O38" s="22">
        <f t="shared" si="20"/>
        <v>0.72027310599675465</v>
      </c>
      <c r="P38" s="22">
        <f t="shared" si="8"/>
        <v>3.7866725352102065E-3</v>
      </c>
      <c r="S38" s="8">
        <v>11.7</v>
      </c>
      <c r="T38" s="48">
        <v>7</v>
      </c>
      <c r="U38" s="48">
        <v>0</v>
      </c>
      <c r="V38" s="7">
        <v>2907</v>
      </c>
      <c r="W38" s="7">
        <v>20</v>
      </c>
      <c r="X38" s="9">
        <v>1.08</v>
      </c>
      <c r="Y38">
        <v>60</v>
      </c>
      <c r="Z38" s="28">
        <f t="shared" si="9"/>
        <v>0</v>
      </c>
      <c r="AA38" s="28">
        <f t="shared" si="10"/>
        <v>0</v>
      </c>
      <c r="AB38" s="28">
        <f t="shared" si="11"/>
        <v>3</v>
      </c>
      <c r="AC38" s="28">
        <f t="shared" si="12"/>
        <v>0</v>
      </c>
      <c r="AD38" s="28">
        <f t="shared" si="13"/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60</v>
      </c>
      <c r="AM38">
        <v>0</v>
      </c>
      <c r="AN38">
        <v>0</v>
      </c>
      <c r="AO38" s="22">
        <f t="shared" si="14"/>
        <v>0</v>
      </c>
      <c r="AP38" s="22">
        <f t="shared" si="15"/>
        <v>0</v>
      </c>
      <c r="AQ38" s="22">
        <f t="shared" si="16"/>
        <v>4.1108738641733114</v>
      </c>
      <c r="AR38" s="22">
        <f t="shared" si="17"/>
        <v>0</v>
      </c>
      <c r="AS38" s="22">
        <f t="shared" si="18"/>
        <v>0</v>
      </c>
    </row>
    <row r="39" spans="1:45" x14ac:dyDescent="0.25">
      <c r="A39" s="1" t="s">
        <v>10</v>
      </c>
      <c r="B39" s="2">
        <v>40008</v>
      </c>
      <c r="C39">
        <v>195</v>
      </c>
      <c r="D39" s="1">
        <v>2009</v>
      </c>
      <c r="E39" s="7">
        <v>2007</v>
      </c>
      <c r="F39">
        <v>57850</v>
      </c>
      <c r="G39" s="44">
        <f t="shared" si="7"/>
        <v>1</v>
      </c>
      <c r="H39" s="6">
        <v>42.558166666666665</v>
      </c>
      <c r="I39" s="6">
        <v>-81.464333333333329</v>
      </c>
      <c r="J39">
        <v>42.566916666666664</v>
      </c>
      <c r="K39">
        <v>-81.47208333333333</v>
      </c>
      <c r="L39">
        <v>41.819366666666667</v>
      </c>
      <c r="M39">
        <v>-81.155166666666673</v>
      </c>
      <c r="N39" s="22">
        <f t="shared" si="19"/>
        <v>1.1688669727561302E-2</v>
      </c>
      <c r="O39" s="22">
        <f t="shared" si="20"/>
        <v>0.80088043288481425</v>
      </c>
      <c r="P39" s="22">
        <f t="shared" si="8"/>
        <v>1.1688669727561302E-2</v>
      </c>
      <c r="S39" s="8">
        <v>13.1</v>
      </c>
      <c r="T39" s="48">
        <v>8</v>
      </c>
      <c r="U39" s="48">
        <v>0</v>
      </c>
      <c r="V39" s="7">
        <v>2211</v>
      </c>
      <c r="W39" s="7">
        <v>20</v>
      </c>
      <c r="X39" s="9">
        <v>1.1200000000000001</v>
      </c>
      <c r="Y39">
        <v>277</v>
      </c>
      <c r="Z39" s="28">
        <f t="shared" si="9"/>
        <v>0</v>
      </c>
      <c r="AA39" s="28">
        <f t="shared" si="10"/>
        <v>0</v>
      </c>
      <c r="AB39" s="28">
        <f t="shared" si="11"/>
        <v>13.7</v>
      </c>
      <c r="AC39" s="28">
        <f t="shared" si="12"/>
        <v>0.15</v>
      </c>
      <c r="AD39" s="28">
        <f t="shared" si="13"/>
        <v>0</v>
      </c>
      <c r="AE39">
        <v>0</v>
      </c>
      <c r="AF39">
        <v>0</v>
      </c>
      <c r="AG39">
        <v>0.98916967509025266</v>
      </c>
      <c r="AH39">
        <v>1.0830324909747292E-2</v>
      </c>
      <c r="AI39">
        <v>0</v>
      </c>
      <c r="AJ39">
        <v>0</v>
      </c>
      <c r="AK39">
        <v>0</v>
      </c>
      <c r="AL39">
        <v>274</v>
      </c>
      <c r="AM39">
        <v>3</v>
      </c>
      <c r="AN39">
        <v>0</v>
      </c>
      <c r="AO39" s="22">
        <f t="shared" si="14"/>
        <v>0</v>
      </c>
      <c r="AP39" s="22">
        <f t="shared" si="15"/>
        <v>0</v>
      </c>
      <c r="AQ39" s="22">
        <f t="shared" si="16"/>
        <v>5.6167710976665717</v>
      </c>
      <c r="AR39" s="22">
        <f t="shared" si="17"/>
        <v>1.3862943611198906</v>
      </c>
      <c r="AS39" s="22">
        <f t="shared" si="18"/>
        <v>0</v>
      </c>
    </row>
    <row r="40" spans="1:45" x14ac:dyDescent="0.25">
      <c r="A40" s="1" t="s">
        <v>10</v>
      </c>
      <c r="B40" s="2">
        <v>40008</v>
      </c>
      <c r="C40">
        <v>195</v>
      </c>
      <c r="D40" s="1">
        <v>2009</v>
      </c>
      <c r="E40" s="7">
        <v>2008</v>
      </c>
      <c r="F40">
        <v>57850</v>
      </c>
      <c r="G40" s="44">
        <f t="shared" si="7"/>
        <v>1</v>
      </c>
      <c r="H40" s="6">
        <v>42.555833333333332</v>
      </c>
      <c r="I40" s="6">
        <v>-81.460999999999999</v>
      </c>
      <c r="J40">
        <v>42.566916666666664</v>
      </c>
      <c r="K40">
        <v>-81.47208333333333</v>
      </c>
      <c r="L40">
        <v>41.819366666666667</v>
      </c>
      <c r="M40">
        <v>-81.155166666666673</v>
      </c>
      <c r="N40" s="22">
        <f t="shared" si="19"/>
        <v>1.5674200316299607E-2</v>
      </c>
      <c r="O40" s="22">
        <f t="shared" si="20"/>
        <v>0.79744415408784675</v>
      </c>
      <c r="P40" s="22">
        <f t="shared" si="8"/>
        <v>1.5674200316299607E-2</v>
      </c>
      <c r="S40" s="8">
        <v>13.7</v>
      </c>
      <c r="T40" s="48">
        <v>6</v>
      </c>
      <c r="U40" s="48">
        <v>0</v>
      </c>
      <c r="V40" s="7">
        <v>2255</v>
      </c>
      <c r="W40" s="7">
        <v>20</v>
      </c>
      <c r="X40" s="9">
        <v>1.06</v>
      </c>
      <c r="Y40">
        <v>131</v>
      </c>
      <c r="Z40" s="28">
        <f t="shared" si="9"/>
        <v>0</v>
      </c>
      <c r="AA40" s="28">
        <f t="shared" si="10"/>
        <v>0.05</v>
      </c>
      <c r="AB40" s="28">
        <f t="shared" si="11"/>
        <v>4.9000000000000004</v>
      </c>
      <c r="AC40" s="28">
        <f t="shared" si="12"/>
        <v>1.55</v>
      </c>
      <c r="AD40" s="28">
        <f t="shared" si="13"/>
        <v>0.05</v>
      </c>
      <c r="AE40">
        <v>0</v>
      </c>
      <c r="AF40">
        <v>7.6335877862595417E-3</v>
      </c>
      <c r="AG40">
        <v>0.74809160305343514</v>
      </c>
      <c r="AH40">
        <v>0.23664122137404581</v>
      </c>
      <c r="AI40">
        <v>7.6335877862595417E-3</v>
      </c>
      <c r="AJ40">
        <v>0</v>
      </c>
      <c r="AK40">
        <v>1</v>
      </c>
      <c r="AL40">
        <v>98</v>
      </c>
      <c r="AM40">
        <v>31</v>
      </c>
      <c r="AN40">
        <v>1</v>
      </c>
      <c r="AO40" s="22">
        <f t="shared" si="14"/>
        <v>0</v>
      </c>
      <c r="AP40" s="22">
        <f t="shared" si="15"/>
        <v>0.69314718055994529</v>
      </c>
      <c r="AQ40" s="22">
        <f t="shared" si="16"/>
        <v>4.5951198501345898</v>
      </c>
      <c r="AR40" s="22">
        <f t="shared" si="17"/>
        <v>3.4657359027997265</v>
      </c>
      <c r="AS40" s="22">
        <f t="shared" si="18"/>
        <v>0.69314718055994529</v>
      </c>
    </row>
    <row r="41" spans="1:45" x14ac:dyDescent="0.25">
      <c r="A41" s="1" t="s">
        <v>10</v>
      </c>
      <c r="B41" s="2">
        <v>40009</v>
      </c>
      <c r="C41">
        <v>196</v>
      </c>
      <c r="D41" s="1">
        <v>2009</v>
      </c>
      <c r="E41" s="7">
        <v>2009</v>
      </c>
      <c r="F41">
        <v>57850</v>
      </c>
      <c r="G41" s="44">
        <f t="shared" si="7"/>
        <v>1</v>
      </c>
      <c r="H41" s="6">
        <v>42.50333333333333</v>
      </c>
      <c r="I41" s="6">
        <v>-81.439166666666665</v>
      </c>
      <c r="J41">
        <v>42.566916666666664</v>
      </c>
      <c r="K41">
        <v>-81.47208333333333</v>
      </c>
      <c r="L41">
        <v>41.819366666666667</v>
      </c>
      <c r="M41">
        <v>-81.155166666666673</v>
      </c>
      <c r="N41" s="22">
        <f t="shared" si="19"/>
        <v>7.1598514106245098E-2</v>
      </c>
      <c r="O41" s="22">
        <f t="shared" si="20"/>
        <v>0.74058517478484642</v>
      </c>
      <c r="P41" s="22">
        <f t="shared" si="8"/>
        <v>7.1598514106245098E-2</v>
      </c>
      <c r="S41" s="8">
        <v>18.100000000000001</v>
      </c>
      <c r="T41" s="48">
        <v>14</v>
      </c>
      <c r="U41" s="48">
        <v>1</v>
      </c>
      <c r="V41" s="7">
        <v>2403</v>
      </c>
      <c r="W41" s="7">
        <v>20</v>
      </c>
      <c r="X41" s="9">
        <v>1.17</v>
      </c>
      <c r="Y41">
        <v>2791</v>
      </c>
      <c r="Z41" s="28">
        <f t="shared" si="9"/>
        <v>0</v>
      </c>
      <c r="AA41" s="28">
        <f t="shared" si="10"/>
        <v>0.05</v>
      </c>
      <c r="AB41" s="28">
        <f t="shared" si="11"/>
        <v>139.30000000000001</v>
      </c>
      <c r="AC41" s="28">
        <f t="shared" si="12"/>
        <v>0.05</v>
      </c>
      <c r="AD41" s="28">
        <f t="shared" si="13"/>
        <v>0</v>
      </c>
      <c r="AE41">
        <v>0</v>
      </c>
      <c r="AF41">
        <v>3.5829451809387314E-4</v>
      </c>
      <c r="AG41">
        <v>0.99820852740953059</v>
      </c>
      <c r="AH41">
        <v>3.5829451809387314E-4</v>
      </c>
      <c r="AI41">
        <v>0</v>
      </c>
      <c r="AJ41">
        <v>0</v>
      </c>
      <c r="AK41">
        <v>1</v>
      </c>
      <c r="AL41">
        <v>2786</v>
      </c>
      <c r="AM41">
        <v>1</v>
      </c>
      <c r="AN41">
        <v>0</v>
      </c>
      <c r="AO41" s="22">
        <f t="shared" si="14"/>
        <v>0</v>
      </c>
      <c r="AP41" s="22">
        <f t="shared" si="15"/>
        <v>0.69314718055994529</v>
      </c>
      <c r="AQ41" s="22">
        <f t="shared" si="16"/>
        <v>7.9327210274819482</v>
      </c>
      <c r="AR41" s="22">
        <f t="shared" si="17"/>
        <v>0.69314718055994529</v>
      </c>
      <c r="AS41" s="22">
        <f t="shared" si="18"/>
        <v>0</v>
      </c>
    </row>
    <row r="42" spans="1:45" x14ac:dyDescent="0.25">
      <c r="A42" s="1" t="s">
        <v>10</v>
      </c>
      <c r="B42" s="2">
        <v>40009</v>
      </c>
      <c r="C42">
        <v>196</v>
      </c>
      <c r="D42" s="1">
        <v>2009</v>
      </c>
      <c r="E42" s="7">
        <v>2010</v>
      </c>
      <c r="F42">
        <v>57850</v>
      </c>
      <c r="G42" s="44">
        <f t="shared" si="7"/>
        <v>1</v>
      </c>
      <c r="H42" s="6">
        <v>42.500833333333333</v>
      </c>
      <c r="I42" s="6">
        <v>-81.44083333333333</v>
      </c>
      <c r="J42">
        <v>42.566916666666664</v>
      </c>
      <c r="K42">
        <v>-81.47208333333333</v>
      </c>
      <c r="L42">
        <v>41.819366666666667</v>
      </c>
      <c r="M42">
        <v>-81.155166666666673</v>
      </c>
      <c r="N42" s="22">
        <f t="shared" si="19"/>
        <v>7.3099722601691189E-2</v>
      </c>
      <c r="O42" s="22">
        <f t="shared" si="20"/>
        <v>0.73891965884134858</v>
      </c>
      <c r="P42" s="22">
        <f t="shared" si="8"/>
        <v>7.3099722601691189E-2</v>
      </c>
      <c r="S42" s="8">
        <v>18.3</v>
      </c>
      <c r="T42" s="48">
        <v>10</v>
      </c>
      <c r="U42" s="48">
        <v>0</v>
      </c>
      <c r="V42" s="7">
        <v>2449</v>
      </c>
      <c r="W42" s="7">
        <v>20</v>
      </c>
      <c r="X42" s="9">
        <v>1.1499999999999999</v>
      </c>
      <c r="Y42">
        <v>2</v>
      </c>
      <c r="Z42" s="28">
        <f t="shared" si="9"/>
        <v>0</v>
      </c>
      <c r="AA42" s="28">
        <f t="shared" si="10"/>
        <v>0</v>
      </c>
      <c r="AB42" s="28">
        <f t="shared" si="11"/>
        <v>0</v>
      </c>
      <c r="AC42" s="28">
        <f t="shared" si="12"/>
        <v>0.05</v>
      </c>
      <c r="AD42" s="28">
        <f t="shared" si="13"/>
        <v>0</v>
      </c>
      <c r="AE42">
        <v>0</v>
      </c>
      <c r="AF42">
        <v>0</v>
      </c>
      <c r="AG42">
        <v>0</v>
      </c>
      <c r="AH42">
        <v>0.5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 s="22">
        <f t="shared" si="14"/>
        <v>0</v>
      </c>
      <c r="AP42" s="22">
        <f t="shared" si="15"/>
        <v>0</v>
      </c>
      <c r="AQ42" s="22">
        <f t="shared" si="16"/>
        <v>0</v>
      </c>
      <c r="AR42" s="22">
        <f t="shared" si="17"/>
        <v>0.69314718055994529</v>
      </c>
      <c r="AS42" s="22">
        <f t="shared" si="18"/>
        <v>0</v>
      </c>
    </row>
    <row r="43" spans="1:45" x14ac:dyDescent="0.25">
      <c r="A43" s="1" t="s">
        <v>10</v>
      </c>
      <c r="B43" s="2">
        <v>40009</v>
      </c>
      <c r="C43">
        <v>196</v>
      </c>
      <c r="D43" s="1">
        <v>2009</v>
      </c>
      <c r="E43" s="7">
        <v>2011</v>
      </c>
      <c r="F43">
        <v>57850</v>
      </c>
      <c r="G43" s="44">
        <f t="shared" si="7"/>
        <v>1</v>
      </c>
      <c r="H43" s="6">
        <v>42.512500000000003</v>
      </c>
      <c r="I43" s="6">
        <v>-81.429500000000004</v>
      </c>
      <c r="J43">
        <v>42.566916666666664</v>
      </c>
      <c r="K43">
        <v>-81.47208333333333</v>
      </c>
      <c r="L43">
        <v>41.819366666666667</v>
      </c>
      <c r="M43">
        <v>-81.155166666666673</v>
      </c>
      <c r="N43" s="22">
        <f t="shared" si="19"/>
        <v>6.9097857339339111E-2</v>
      </c>
      <c r="O43" s="22">
        <f t="shared" si="20"/>
        <v>0.74544791605822969</v>
      </c>
      <c r="P43" s="22">
        <f t="shared" si="8"/>
        <v>6.9097857339339111E-2</v>
      </c>
      <c r="S43" s="8">
        <v>17.3</v>
      </c>
      <c r="T43" s="48">
        <v>5</v>
      </c>
      <c r="U43" s="48">
        <v>0</v>
      </c>
      <c r="V43" s="7">
        <v>2523</v>
      </c>
      <c r="W43" s="7">
        <v>20</v>
      </c>
      <c r="X43" s="9">
        <v>0.97</v>
      </c>
      <c r="Y43">
        <v>2</v>
      </c>
      <c r="Z43" s="28">
        <f t="shared" si="9"/>
        <v>0</v>
      </c>
      <c r="AA43" s="28">
        <f t="shared" si="10"/>
        <v>0</v>
      </c>
      <c r="AB43" s="28">
        <f t="shared" si="11"/>
        <v>0</v>
      </c>
      <c r="AC43" s="28">
        <f t="shared" si="12"/>
        <v>0.1</v>
      </c>
      <c r="AD43" s="28">
        <f t="shared" si="13"/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0</v>
      </c>
      <c r="AO43" s="22">
        <f t="shared" si="14"/>
        <v>0</v>
      </c>
      <c r="AP43" s="22">
        <f t="shared" si="15"/>
        <v>0</v>
      </c>
      <c r="AQ43" s="22">
        <f t="shared" si="16"/>
        <v>0</v>
      </c>
      <c r="AR43" s="22">
        <f t="shared" si="17"/>
        <v>1.0986122886681098</v>
      </c>
      <c r="AS43" s="22">
        <f t="shared" si="18"/>
        <v>0</v>
      </c>
    </row>
    <row r="44" spans="1:45" x14ac:dyDescent="0.25">
      <c r="A44" s="1" t="s">
        <v>10</v>
      </c>
      <c r="B44" s="2">
        <v>40009</v>
      </c>
      <c r="C44">
        <v>196</v>
      </c>
      <c r="D44" s="1">
        <v>2009</v>
      </c>
      <c r="E44" s="7">
        <v>2012</v>
      </c>
      <c r="F44">
        <v>57850</v>
      </c>
      <c r="G44" s="44">
        <f t="shared" si="7"/>
        <v>1</v>
      </c>
      <c r="H44" s="6">
        <v>42.351166666666664</v>
      </c>
      <c r="I44" s="6">
        <v>-81.37</v>
      </c>
      <c r="J44">
        <v>42.566916666666664</v>
      </c>
      <c r="K44">
        <v>-81.47208333333333</v>
      </c>
      <c r="L44">
        <v>41.819366666666667</v>
      </c>
      <c r="M44">
        <v>-81.155166666666673</v>
      </c>
      <c r="N44" s="22">
        <f t="shared" si="19"/>
        <v>0.23868194201581913</v>
      </c>
      <c r="O44" s="22">
        <f t="shared" si="20"/>
        <v>0.57355435759054862</v>
      </c>
      <c r="P44" s="22">
        <f t="shared" si="8"/>
        <v>0.23868194201581913</v>
      </c>
      <c r="S44" s="8">
        <v>22.3</v>
      </c>
      <c r="T44" s="48">
        <v>16</v>
      </c>
      <c r="U44" s="48">
        <v>1</v>
      </c>
      <c r="V44" s="7">
        <v>2706</v>
      </c>
      <c r="W44" s="7">
        <v>20</v>
      </c>
      <c r="X44" s="9">
        <v>1.1299999999999999</v>
      </c>
      <c r="Y44">
        <v>410</v>
      </c>
      <c r="Z44" s="28">
        <f t="shared" si="9"/>
        <v>0</v>
      </c>
      <c r="AA44" s="28">
        <f t="shared" si="10"/>
        <v>0.05</v>
      </c>
      <c r="AB44" s="28">
        <f t="shared" si="11"/>
        <v>20.3</v>
      </c>
      <c r="AC44" s="28">
        <f t="shared" si="12"/>
        <v>0</v>
      </c>
      <c r="AD44" s="28">
        <f t="shared" si="13"/>
        <v>0</v>
      </c>
      <c r="AE44">
        <v>0</v>
      </c>
      <c r="AF44">
        <v>2.4390243902439024E-3</v>
      </c>
      <c r="AG44">
        <v>0.99024390243902438</v>
      </c>
      <c r="AH44">
        <v>0</v>
      </c>
      <c r="AI44">
        <v>0</v>
      </c>
      <c r="AJ44">
        <v>0</v>
      </c>
      <c r="AK44">
        <v>1</v>
      </c>
      <c r="AL44">
        <v>406</v>
      </c>
      <c r="AM44">
        <v>0</v>
      </c>
      <c r="AN44">
        <v>0</v>
      </c>
      <c r="AO44" s="22">
        <f t="shared" si="14"/>
        <v>0</v>
      </c>
      <c r="AP44" s="22">
        <f t="shared" si="15"/>
        <v>0.69314718055994529</v>
      </c>
      <c r="AQ44" s="22">
        <f t="shared" si="16"/>
        <v>6.0088131854425946</v>
      </c>
      <c r="AR44" s="22">
        <f t="shared" si="17"/>
        <v>0</v>
      </c>
      <c r="AS44" s="22">
        <f t="shared" si="18"/>
        <v>0</v>
      </c>
    </row>
    <row r="45" spans="1:45" x14ac:dyDescent="0.25">
      <c r="A45" s="1" t="s">
        <v>10</v>
      </c>
      <c r="B45" s="2">
        <v>40009</v>
      </c>
      <c r="C45">
        <v>196</v>
      </c>
      <c r="D45" s="1">
        <v>2009</v>
      </c>
      <c r="E45" s="7">
        <v>2013</v>
      </c>
      <c r="F45">
        <v>57850</v>
      </c>
      <c r="G45" s="44">
        <f t="shared" si="7"/>
        <v>1</v>
      </c>
      <c r="H45" s="6">
        <v>42.354666666666667</v>
      </c>
      <c r="I45" s="6">
        <v>-81.382166666666663</v>
      </c>
      <c r="J45">
        <v>42.566916666666664</v>
      </c>
      <c r="K45">
        <v>-81.47208333333333</v>
      </c>
      <c r="L45">
        <v>41.819366666666667</v>
      </c>
      <c r="M45">
        <v>-81.155166666666673</v>
      </c>
      <c r="N45" s="22">
        <f t="shared" si="19"/>
        <v>0.23051045408927431</v>
      </c>
      <c r="O45" s="22">
        <f t="shared" si="20"/>
        <v>0.58144224992684757</v>
      </c>
      <c r="P45" s="22">
        <f t="shared" si="8"/>
        <v>0.23051045408927431</v>
      </c>
      <c r="S45" s="8">
        <v>22.3</v>
      </c>
      <c r="T45" s="48">
        <v>17</v>
      </c>
      <c r="U45" s="48">
        <v>1</v>
      </c>
      <c r="V45" s="7">
        <v>2752</v>
      </c>
      <c r="W45" s="7">
        <v>20</v>
      </c>
      <c r="X45" s="9">
        <v>1.1299999999999999</v>
      </c>
      <c r="Y45">
        <v>913</v>
      </c>
      <c r="Z45" s="28">
        <f t="shared" si="9"/>
        <v>0</v>
      </c>
      <c r="AA45" s="28">
        <f t="shared" si="10"/>
        <v>0.15</v>
      </c>
      <c r="AB45" s="28">
        <f t="shared" si="11"/>
        <v>45.4</v>
      </c>
      <c r="AC45" s="28">
        <f t="shared" si="12"/>
        <v>0</v>
      </c>
      <c r="AD45" s="28">
        <f t="shared" si="13"/>
        <v>0</v>
      </c>
      <c r="AE45">
        <v>0</v>
      </c>
      <c r="AF45">
        <v>3.2858707557502738E-3</v>
      </c>
      <c r="AG45">
        <v>0.99452354874041626</v>
      </c>
      <c r="AH45">
        <v>0</v>
      </c>
      <c r="AI45">
        <v>0</v>
      </c>
      <c r="AJ45">
        <v>0</v>
      </c>
      <c r="AK45">
        <v>3</v>
      </c>
      <c r="AL45">
        <v>908</v>
      </c>
      <c r="AM45">
        <v>0</v>
      </c>
      <c r="AN45">
        <v>0</v>
      </c>
      <c r="AO45" s="22">
        <f t="shared" si="14"/>
        <v>0</v>
      </c>
      <c r="AP45" s="22">
        <f t="shared" si="15"/>
        <v>1.3862943611198906</v>
      </c>
      <c r="AQ45" s="22">
        <f t="shared" si="16"/>
        <v>6.8123450941774788</v>
      </c>
      <c r="AR45" s="22">
        <f t="shared" si="17"/>
        <v>0</v>
      </c>
      <c r="AS45" s="22">
        <f t="shared" si="18"/>
        <v>0</v>
      </c>
    </row>
    <row r="46" spans="1:45" x14ac:dyDescent="0.25">
      <c r="A46" s="1" t="s">
        <v>10</v>
      </c>
      <c r="B46" s="2">
        <v>40009</v>
      </c>
      <c r="C46">
        <v>196</v>
      </c>
      <c r="D46" s="1">
        <v>2009</v>
      </c>
      <c r="E46" s="7">
        <v>2014</v>
      </c>
      <c r="F46">
        <v>57850</v>
      </c>
      <c r="G46" s="44">
        <f t="shared" si="7"/>
        <v>1</v>
      </c>
      <c r="H46" s="6">
        <v>42.366166666666665</v>
      </c>
      <c r="I46" s="6">
        <v>-81.378500000000003</v>
      </c>
      <c r="J46">
        <v>42.566916666666664</v>
      </c>
      <c r="K46">
        <v>-81.47208333333333</v>
      </c>
      <c r="L46">
        <v>41.819366666666667</v>
      </c>
      <c r="M46">
        <v>-81.155166666666673</v>
      </c>
      <c r="N46" s="22">
        <f t="shared" si="19"/>
        <v>0.22149131535519959</v>
      </c>
      <c r="O46" s="22">
        <f t="shared" si="20"/>
        <v>0.59065050391731078</v>
      </c>
      <c r="P46" s="22">
        <f t="shared" si="8"/>
        <v>0.22149131535519959</v>
      </c>
      <c r="S46" s="8">
        <v>22.5</v>
      </c>
      <c r="T46" s="48">
        <v>5</v>
      </c>
      <c r="U46" s="48">
        <v>0</v>
      </c>
      <c r="V46" s="7">
        <v>2834</v>
      </c>
      <c r="W46" s="7">
        <v>20</v>
      </c>
      <c r="X46" s="9">
        <v>1.0900000000000001</v>
      </c>
      <c r="Y46">
        <v>67</v>
      </c>
      <c r="Z46" s="28">
        <f t="shared" si="9"/>
        <v>0</v>
      </c>
      <c r="AA46" s="28">
        <f t="shared" si="10"/>
        <v>3.2</v>
      </c>
      <c r="AB46" s="28">
        <f t="shared" si="11"/>
        <v>0.15</v>
      </c>
      <c r="AC46" s="28">
        <f t="shared" si="12"/>
        <v>0</v>
      </c>
      <c r="AD46" s="28">
        <f t="shared" si="13"/>
        <v>0</v>
      </c>
      <c r="AE46">
        <v>0</v>
      </c>
      <c r="AF46">
        <v>0.95522388059701491</v>
      </c>
      <c r="AG46">
        <v>4.4776119402985072E-2</v>
      </c>
      <c r="AH46">
        <v>0</v>
      </c>
      <c r="AI46">
        <v>0</v>
      </c>
      <c r="AJ46">
        <v>0</v>
      </c>
      <c r="AK46">
        <v>64</v>
      </c>
      <c r="AL46">
        <v>3</v>
      </c>
      <c r="AM46">
        <v>0</v>
      </c>
      <c r="AN46">
        <v>0</v>
      </c>
      <c r="AO46" s="22">
        <f t="shared" si="14"/>
        <v>0</v>
      </c>
      <c r="AP46" s="22">
        <f t="shared" si="15"/>
        <v>4.1743872698956368</v>
      </c>
      <c r="AQ46" s="22">
        <f t="shared" si="16"/>
        <v>1.3862943611198906</v>
      </c>
      <c r="AR46" s="22">
        <f t="shared" si="17"/>
        <v>0</v>
      </c>
      <c r="AS46" s="22">
        <f t="shared" si="18"/>
        <v>0</v>
      </c>
    </row>
    <row r="47" spans="1:45" x14ac:dyDescent="0.25">
      <c r="A47" s="1" t="s">
        <v>10</v>
      </c>
      <c r="B47" s="2">
        <v>40014</v>
      </c>
      <c r="C47">
        <v>201</v>
      </c>
      <c r="D47" s="1">
        <v>2009</v>
      </c>
      <c r="E47" s="7">
        <v>2015</v>
      </c>
      <c r="F47">
        <v>57350</v>
      </c>
      <c r="G47" s="44">
        <f t="shared" si="7"/>
        <v>0</v>
      </c>
      <c r="H47" s="6">
        <v>42.149833333333333</v>
      </c>
      <c r="I47" s="6">
        <v>-82.263000000000005</v>
      </c>
      <c r="J47">
        <v>42.1434</v>
      </c>
      <c r="K47">
        <v>-82.285266666666672</v>
      </c>
      <c r="L47">
        <v>41.52558333333333</v>
      </c>
      <c r="M47">
        <v>-81.97645</v>
      </c>
      <c r="N47" s="22">
        <f t="shared" si="19"/>
        <v>2.317740758200185E-2</v>
      </c>
      <c r="O47" s="22">
        <f t="shared" si="20"/>
        <v>0.68687623703255851</v>
      </c>
      <c r="P47" s="22">
        <f t="shared" si="8"/>
        <v>2.317740758200185E-2</v>
      </c>
      <c r="S47" s="8">
        <v>13.2</v>
      </c>
      <c r="T47" s="48">
        <v>6</v>
      </c>
      <c r="U47" s="48">
        <v>0</v>
      </c>
      <c r="V47" s="7">
        <v>2141</v>
      </c>
      <c r="W47" s="7">
        <v>20</v>
      </c>
      <c r="X47" s="9">
        <v>1.03</v>
      </c>
      <c r="Y47">
        <v>2240</v>
      </c>
      <c r="Z47" s="28">
        <f t="shared" si="9"/>
        <v>0</v>
      </c>
      <c r="AA47" s="28">
        <f t="shared" si="10"/>
        <v>0</v>
      </c>
      <c r="AB47" s="28">
        <f t="shared" si="11"/>
        <v>111.9</v>
      </c>
      <c r="AC47" s="28">
        <f t="shared" si="12"/>
        <v>0.1</v>
      </c>
      <c r="AD47" s="28">
        <f t="shared" si="13"/>
        <v>0</v>
      </c>
      <c r="AE47">
        <v>0</v>
      </c>
      <c r="AF47">
        <v>0</v>
      </c>
      <c r="AG47">
        <v>0.99910714285714286</v>
      </c>
      <c r="AH47">
        <v>8.9285714285714283E-4</v>
      </c>
      <c r="AI47">
        <v>0</v>
      </c>
      <c r="AJ47">
        <v>0</v>
      </c>
      <c r="AK47">
        <v>0</v>
      </c>
      <c r="AL47">
        <v>2238</v>
      </c>
      <c r="AM47">
        <v>2</v>
      </c>
      <c r="AN47">
        <v>0</v>
      </c>
      <c r="AO47" s="22">
        <f t="shared" si="14"/>
        <v>0</v>
      </c>
      <c r="AP47" s="22">
        <f t="shared" si="15"/>
        <v>0</v>
      </c>
      <c r="AQ47" s="22">
        <f t="shared" si="16"/>
        <v>7.7137846165987547</v>
      </c>
      <c r="AR47" s="22">
        <f t="shared" si="17"/>
        <v>1.0986122886681098</v>
      </c>
      <c r="AS47" s="22">
        <f t="shared" si="18"/>
        <v>0</v>
      </c>
    </row>
    <row r="48" spans="1:45" x14ac:dyDescent="0.25">
      <c r="A48" s="1" t="s">
        <v>10</v>
      </c>
      <c r="B48" s="2">
        <v>40014</v>
      </c>
      <c r="C48">
        <v>201</v>
      </c>
      <c r="D48" s="1">
        <v>2009</v>
      </c>
      <c r="E48" s="7">
        <v>2016</v>
      </c>
      <c r="F48">
        <v>57350</v>
      </c>
      <c r="G48" s="44">
        <f t="shared" si="7"/>
        <v>0</v>
      </c>
      <c r="H48" s="6">
        <v>42.145833333333336</v>
      </c>
      <c r="I48" s="6">
        <v>-82.25366666666666</v>
      </c>
      <c r="J48">
        <v>42.1434</v>
      </c>
      <c r="K48">
        <v>-82.285266666666672</v>
      </c>
      <c r="L48">
        <v>41.52558333333333</v>
      </c>
      <c r="M48">
        <v>-81.97645</v>
      </c>
      <c r="N48" s="22">
        <f t="shared" si="19"/>
        <v>3.1693549992259595E-2</v>
      </c>
      <c r="O48" s="22">
        <f t="shared" si="20"/>
        <v>0.67938144129625855</v>
      </c>
      <c r="P48" s="22">
        <f t="shared" si="8"/>
        <v>3.1693549992259595E-2</v>
      </c>
      <c r="S48" s="8">
        <v>14.4</v>
      </c>
      <c r="T48" s="48">
        <v>12</v>
      </c>
      <c r="U48" s="48">
        <v>0</v>
      </c>
      <c r="V48" s="7">
        <v>2229</v>
      </c>
      <c r="W48" s="7">
        <v>17</v>
      </c>
      <c r="X48" s="9">
        <v>1.04</v>
      </c>
      <c r="Y48">
        <v>927</v>
      </c>
      <c r="Z48" s="28">
        <f t="shared" si="9"/>
        <v>0</v>
      </c>
      <c r="AA48" s="28">
        <f t="shared" si="10"/>
        <v>0.11764705882352941</v>
      </c>
      <c r="AB48" s="28">
        <f t="shared" si="11"/>
        <v>54.058823529411768</v>
      </c>
      <c r="AC48" s="28">
        <f t="shared" si="12"/>
        <v>0.35294117647058826</v>
      </c>
      <c r="AD48" s="28">
        <f t="shared" si="13"/>
        <v>0</v>
      </c>
      <c r="AE48">
        <v>0</v>
      </c>
      <c r="AF48">
        <v>2.1574973031283709E-3</v>
      </c>
      <c r="AG48">
        <v>0.99137001078748654</v>
      </c>
      <c r="AH48">
        <v>6.4724919093851136E-3</v>
      </c>
      <c r="AI48">
        <v>0</v>
      </c>
      <c r="AJ48">
        <v>0</v>
      </c>
      <c r="AK48">
        <v>2</v>
      </c>
      <c r="AL48">
        <v>919</v>
      </c>
      <c r="AM48">
        <v>6</v>
      </c>
      <c r="AN48">
        <v>0</v>
      </c>
      <c r="AO48" s="22">
        <f t="shared" si="14"/>
        <v>0</v>
      </c>
      <c r="AP48" s="22">
        <f t="shared" si="15"/>
        <v>1.0986122886681098</v>
      </c>
      <c r="AQ48" s="22">
        <f t="shared" si="16"/>
        <v>6.8243736700430864</v>
      </c>
      <c r="AR48" s="22">
        <f t="shared" si="17"/>
        <v>1.9459101490553132</v>
      </c>
      <c r="AS48" s="22">
        <f t="shared" si="18"/>
        <v>0</v>
      </c>
    </row>
    <row r="49" spans="1:45" x14ac:dyDescent="0.25">
      <c r="A49" s="1" t="s">
        <v>10</v>
      </c>
      <c r="B49" s="2">
        <v>40015</v>
      </c>
      <c r="C49">
        <v>202</v>
      </c>
      <c r="D49" s="1">
        <v>2009</v>
      </c>
      <c r="E49" s="7">
        <v>2017</v>
      </c>
      <c r="F49">
        <v>57350</v>
      </c>
      <c r="G49" s="44">
        <f t="shared" si="7"/>
        <v>0</v>
      </c>
      <c r="H49" s="6">
        <v>42.073166666666665</v>
      </c>
      <c r="I49" s="6">
        <v>-82.228999999999999</v>
      </c>
      <c r="J49">
        <v>42.1434</v>
      </c>
      <c r="K49">
        <v>-82.285266666666672</v>
      </c>
      <c r="L49">
        <v>41.52558333333333</v>
      </c>
      <c r="M49">
        <v>-81.97645</v>
      </c>
      <c r="N49" s="22">
        <f t="shared" si="19"/>
        <v>8.999254907429681E-2</v>
      </c>
      <c r="O49" s="22">
        <f t="shared" si="20"/>
        <v>0.60301659135089025</v>
      </c>
      <c r="P49" s="22">
        <f t="shared" si="8"/>
        <v>8.999254907429681E-2</v>
      </c>
      <c r="S49" s="8">
        <v>21.5</v>
      </c>
      <c r="T49" s="48">
        <v>7</v>
      </c>
      <c r="U49" s="48">
        <v>0</v>
      </c>
      <c r="V49" s="7">
        <v>2403</v>
      </c>
      <c r="W49" s="7">
        <v>20</v>
      </c>
      <c r="X49" s="9">
        <v>1.1599999999999999</v>
      </c>
      <c r="Y49">
        <v>1269</v>
      </c>
      <c r="Z49" s="28">
        <f t="shared" si="9"/>
        <v>0</v>
      </c>
      <c r="AA49" s="28">
        <f t="shared" si="10"/>
        <v>0.1</v>
      </c>
      <c r="AB49" s="28">
        <f t="shared" si="11"/>
        <v>0.05</v>
      </c>
      <c r="AC49" s="28">
        <f t="shared" si="12"/>
        <v>62.95</v>
      </c>
      <c r="AD49" s="28">
        <f t="shared" si="13"/>
        <v>0</v>
      </c>
      <c r="AE49">
        <v>0</v>
      </c>
      <c r="AF49">
        <v>1.5760441292356187E-3</v>
      </c>
      <c r="AG49">
        <v>7.8802206461780935E-4</v>
      </c>
      <c r="AH49">
        <v>0.9921197793538219</v>
      </c>
      <c r="AI49">
        <v>0</v>
      </c>
      <c r="AJ49">
        <v>0</v>
      </c>
      <c r="AK49">
        <v>2</v>
      </c>
      <c r="AL49">
        <v>1</v>
      </c>
      <c r="AM49">
        <v>1259</v>
      </c>
      <c r="AN49">
        <v>0</v>
      </c>
      <c r="AO49" s="22">
        <f t="shared" si="14"/>
        <v>0</v>
      </c>
      <c r="AP49" s="22">
        <f t="shared" si="15"/>
        <v>1.0986122886681098</v>
      </c>
      <c r="AQ49" s="22">
        <f t="shared" si="16"/>
        <v>0.69314718055994529</v>
      </c>
      <c r="AR49" s="22">
        <f t="shared" si="17"/>
        <v>7.1388669999455239</v>
      </c>
      <c r="AS49" s="22">
        <f t="shared" si="18"/>
        <v>0</v>
      </c>
    </row>
    <row r="50" spans="1:45" x14ac:dyDescent="0.25">
      <c r="A50" s="1" t="s">
        <v>10</v>
      </c>
      <c r="B50" s="2">
        <v>40015</v>
      </c>
      <c r="C50">
        <v>202</v>
      </c>
      <c r="D50" s="1">
        <v>2009</v>
      </c>
      <c r="E50" s="7">
        <v>2018</v>
      </c>
      <c r="F50">
        <v>57350</v>
      </c>
      <c r="G50" s="44">
        <f t="shared" si="7"/>
        <v>0</v>
      </c>
      <c r="H50" s="6">
        <v>42.067</v>
      </c>
      <c r="I50" s="6">
        <v>-82.222166666666666</v>
      </c>
      <c r="J50">
        <v>42.1434</v>
      </c>
      <c r="K50">
        <v>-82.285266666666672</v>
      </c>
      <c r="L50">
        <v>41.52558333333333</v>
      </c>
      <c r="M50">
        <v>-81.97645</v>
      </c>
      <c r="N50" s="22">
        <f t="shared" si="19"/>
        <v>9.9088697640046991E-2</v>
      </c>
      <c r="O50" s="22">
        <f t="shared" si="20"/>
        <v>0.59456596540857098</v>
      </c>
      <c r="P50" s="22">
        <f t="shared" si="8"/>
        <v>9.9088697640046991E-2</v>
      </c>
      <c r="S50" s="8">
        <v>21.4</v>
      </c>
      <c r="T50" s="48">
        <v>12</v>
      </c>
      <c r="U50" s="48">
        <v>0</v>
      </c>
      <c r="V50" s="7">
        <v>2456</v>
      </c>
      <c r="W50" s="7">
        <v>20</v>
      </c>
      <c r="X50" s="9">
        <v>1.05</v>
      </c>
      <c r="Y50">
        <v>496</v>
      </c>
      <c r="Z50" s="28">
        <f t="shared" si="9"/>
        <v>0</v>
      </c>
      <c r="AA50" s="28">
        <f t="shared" si="10"/>
        <v>0.15</v>
      </c>
      <c r="AB50" s="28">
        <f t="shared" si="11"/>
        <v>0.95</v>
      </c>
      <c r="AC50" s="28">
        <f t="shared" si="12"/>
        <v>21.35</v>
      </c>
      <c r="AD50" s="28">
        <f t="shared" si="13"/>
        <v>0</v>
      </c>
      <c r="AE50">
        <v>0</v>
      </c>
      <c r="AF50">
        <v>6.0483870967741934E-3</v>
      </c>
      <c r="AG50">
        <v>3.8306451612903226E-2</v>
      </c>
      <c r="AH50">
        <v>0.86088709677419351</v>
      </c>
      <c r="AI50">
        <v>0</v>
      </c>
      <c r="AJ50">
        <v>0</v>
      </c>
      <c r="AK50">
        <v>3</v>
      </c>
      <c r="AL50">
        <v>19</v>
      </c>
      <c r="AM50">
        <v>427</v>
      </c>
      <c r="AN50">
        <v>0</v>
      </c>
      <c r="AO50" s="22">
        <f t="shared" si="14"/>
        <v>0</v>
      </c>
      <c r="AP50" s="22">
        <f t="shared" si="15"/>
        <v>1.3862943611198906</v>
      </c>
      <c r="AQ50" s="22">
        <f t="shared" si="16"/>
        <v>2.9957322735539909</v>
      </c>
      <c r="AR50" s="22">
        <f t="shared" si="17"/>
        <v>6.0591231955817966</v>
      </c>
      <c r="AS50" s="22">
        <f t="shared" si="18"/>
        <v>0</v>
      </c>
    </row>
    <row r="51" spans="1:45" x14ac:dyDescent="0.25">
      <c r="A51" s="1" t="s">
        <v>10</v>
      </c>
      <c r="B51" s="2">
        <v>40015</v>
      </c>
      <c r="C51">
        <v>202</v>
      </c>
      <c r="D51" s="1">
        <v>2009</v>
      </c>
      <c r="E51" s="7">
        <v>2019</v>
      </c>
      <c r="F51">
        <v>57350</v>
      </c>
      <c r="G51" s="44">
        <f t="shared" si="7"/>
        <v>0</v>
      </c>
      <c r="H51" s="6">
        <v>42.066499999999998</v>
      </c>
      <c r="I51" s="6">
        <v>-82.219833333333327</v>
      </c>
      <c r="J51">
        <v>42.1434</v>
      </c>
      <c r="K51">
        <v>-82.285266666666672</v>
      </c>
      <c r="L51">
        <v>41.52558333333333</v>
      </c>
      <c r="M51">
        <v>-81.97645</v>
      </c>
      <c r="N51" s="22">
        <f t="shared" si="19"/>
        <v>0.10097094191455777</v>
      </c>
      <c r="O51" s="22">
        <f t="shared" si="20"/>
        <v>0.59314946448784756</v>
      </c>
      <c r="P51" s="22">
        <f t="shared" si="8"/>
        <v>0.10097094191455777</v>
      </c>
      <c r="S51" s="8">
        <v>20.8</v>
      </c>
      <c r="T51" s="48">
        <v>16</v>
      </c>
      <c r="U51" s="48">
        <v>1</v>
      </c>
      <c r="V51" s="7">
        <v>2541</v>
      </c>
      <c r="W51" s="7">
        <v>20</v>
      </c>
      <c r="X51" s="9">
        <v>1.07</v>
      </c>
      <c r="Y51">
        <v>313</v>
      </c>
      <c r="Z51" s="28">
        <f t="shared" si="9"/>
        <v>0</v>
      </c>
      <c r="AA51" s="28">
        <f t="shared" si="10"/>
        <v>0</v>
      </c>
      <c r="AB51" s="28">
        <f t="shared" si="11"/>
        <v>12.75</v>
      </c>
      <c r="AC51" s="28">
        <f t="shared" si="12"/>
        <v>2.85</v>
      </c>
      <c r="AD51" s="28">
        <f t="shared" si="13"/>
        <v>0</v>
      </c>
      <c r="AE51">
        <v>0</v>
      </c>
      <c r="AF51">
        <v>0</v>
      </c>
      <c r="AG51">
        <v>0.81469648562300323</v>
      </c>
      <c r="AH51">
        <v>0.18210862619808307</v>
      </c>
      <c r="AI51">
        <v>0</v>
      </c>
      <c r="AJ51">
        <v>0</v>
      </c>
      <c r="AK51">
        <v>0</v>
      </c>
      <c r="AL51">
        <v>255</v>
      </c>
      <c r="AM51">
        <v>57</v>
      </c>
      <c r="AN51">
        <v>0</v>
      </c>
      <c r="AO51" s="22">
        <f t="shared" si="14"/>
        <v>0</v>
      </c>
      <c r="AP51" s="22">
        <f t="shared" si="15"/>
        <v>0</v>
      </c>
      <c r="AQ51" s="22">
        <f t="shared" si="16"/>
        <v>5.5451774444795623</v>
      </c>
      <c r="AR51" s="22">
        <f t="shared" si="17"/>
        <v>4.0604430105464191</v>
      </c>
      <c r="AS51" s="22">
        <f t="shared" si="18"/>
        <v>0</v>
      </c>
    </row>
    <row r="52" spans="1:45" x14ac:dyDescent="0.25">
      <c r="A52" s="1" t="s">
        <v>10</v>
      </c>
      <c r="B52" s="2">
        <v>40015</v>
      </c>
      <c r="C52">
        <v>202</v>
      </c>
      <c r="D52" s="1">
        <v>2009</v>
      </c>
      <c r="E52" s="7">
        <v>2020</v>
      </c>
      <c r="F52">
        <v>57350</v>
      </c>
      <c r="G52" s="44">
        <f t="shared" si="7"/>
        <v>0</v>
      </c>
      <c r="H52" s="6">
        <v>41.872166666666665</v>
      </c>
      <c r="I52" s="6">
        <v>-82.132499999999993</v>
      </c>
      <c r="J52">
        <v>42.1434</v>
      </c>
      <c r="K52">
        <v>-82.285266666666672</v>
      </c>
      <c r="L52">
        <v>41.52558333333333</v>
      </c>
      <c r="M52">
        <v>-81.97645</v>
      </c>
      <c r="N52" s="22">
        <f t="shared" si="19"/>
        <v>0.31129596135439996</v>
      </c>
      <c r="O52" s="22">
        <f t="shared" si="20"/>
        <v>0.38009421127457799</v>
      </c>
      <c r="P52" s="22">
        <f t="shared" si="8"/>
        <v>0.31129596135439996</v>
      </c>
      <c r="S52" s="8">
        <v>21.7</v>
      </c>
      <c r="T52" s="48">
        <v>19</v>
      </c>
      <c r="U52" s="48">
        <v>1</v>
      </c>
      <c r="V52" s="7">
        <v>2758</v>
      </c>
      <c r="W52" s="7">
        <v>20</v>
      </c>
      <c r="X52" s="9">
        <v>1.1200000000000001</v>
      </c>
      <c r="Y52">
        <v>2623</v>
      </c>
      <c r="Z52" s="28">
        <f t="shared" si="9"/>
        <v>0</v>
      </c>
      <c r="AA52" s="28">
        <f t="shared" si="10"/>
        <v>0</v>
      </c>
      <c r="AB52" s="28">
        <f t="shared" si="11"/>
        <v>127.75</v>
      </c>
      <c r="AC52" s="28">
        <f t="shared" si="12"/>
        <v>3.3</v>
      </c>
      <c r="AD52" s="28">
        <f t="shared" si="13"/>
        <v>0</v>
      </c>
      <c r="AE52">
        <v>0</v>
      </c>
      <c r="AF52">
        <v>0</v>
      </c>
      <c r="AG52">
        <v>0.9740754860846359</v>
      </c>
      <c r="AH52">
        <v>2.5162028211971027E-2</v>
      </c>
      <c r="AI52">
        <v>0</v>
      </c>
      <c r="AJ52">
        <v>0</v>
      </c>
      <c r="AK52">
        <v>0</v>
      </c>
      <c r="AL52">
        <v>2555</v>
      </c>
      <c r="AM52">
        <v>66</v>
      </c>
      <c r="AN52">
        <v>0</v>
      </c>
      <c r="AO52" s="22">
        <f t="shared" si="14"/>
        <v>0</v>
      </c>
      <c r="AP52" s="22">
        <f t="shared" si="15"/>
        <v>0</v>
      </c>
      <c r="AQ52" s="22">
        <f t="shared" si="16"/>
        <v>7.8461988154974254</v>
      </c>
      <c r="AR52" s="22">
        <f t="shared" si="17"/>
        <v>4.2046926193909657</v>
      </c>
      <c r="AS52" s="22">
        <f t="shared" si="18"/>
        <v>0</v>
      </c>
    </row>
    <row r="53" spans="1:45" x14ac:dyDescent="0.25">
      <c r="A53" s="1" t="s">
        <v>10</v>
      </c>
      <c r="B53" s="2">
        <v>40015</v>
      </c>
      <c r="C53">
        <v>202</v>
      </c>
      <c r="D53" s="1">
        <v>2009</v>
      </c>
      <c r="E53" s="7">
        <v>2021</v>
      </c>
      <c r="F53">
        <v>57350</v>
      </c>
      <c r="G53" s="44">
        <f t="shared" si="7"/>
        <v>0</v>
      </c>
      <c r="H53" s="6">
        <v>41.86783333333333</v>
      </c>
      <c r="I53" s="6">
        <v>-82.129666666666665</v>
      </c>
      <c r="J53">
        <v>42.1434</v>
      </c>
      <c r="K53">
        <v>-82.285266666666672</v>
      </c>
      <c r="L53">
        <v>41.52558333333333</v>
      </c>
      <c r="M53">
        <v>-81.97645</v>
      </c>
      <c r="N53" s="22">
        <f t="shared" si="19"/>
        <v>0.31646223752255448</v>
      </c>
      <c r="O53" s="22">
        <f t="shared" si="20"/>
        <v>0.37498054542128451</v>
      </c>
      <c r="P53" s="22">
        <f t="shared" si="8"/>
        <v>0.31646223752255448</v>
      </c>
      <c r="S53" s="8">
        <v>21.8</v>
      </c>
      <c r="T53" s="48">
        <v>10</v>
      </c>
      <c r="U53" s="48">
        <v>0</v>
      </c>
      <c r="V53" s="7">
        <v>2849</v>
      </c>
      <c r="W53" s="7">
        <v>10</v>
      </c>
      <c r="X53" s="9">
        <v>0.59</v>
      </c>
      <c r="Y53">
        <v>91</v>
      </c>
      <c r="Z53" s="28">
        <f t="shared" si="9"/>
        <v>0</v>
      </c>
      <c r="AA53" s="28">
        <f t="shared" si="10"/>
        <v>0</v>
      </c>
      <c r="AB53" s="28">
        <f t="shared" si="11"/>
        <v>0.4</v>
      </c>
      <c r="AC53" s="28">
        <f t="shared" si="12"/>
        <v>8.6</v>
      </c>
      <c r="AD53" s="28">
        <f t="shared" si="13"/>
        <v>0</v>
      </c>
      <c r="AE53">
        <v>0</v>
      </c>
      <c r="AF53">
        <v>0</v>
      </c>
      <c r="AG53">
        <v>4.3956043956043959E-2</v>
      </c>
      <c r="AH53">
        <v>0.94505494505494503</v>
      </c>
      <c r="AI53">
        <v>0</v>
      </c>
      <c r="AJ53">
        <v>0</v>
      </c>
      <c r="AK53">
        <v>0</v>
      </c>
      <c r="AL53">
        <v>4</v>
      </c>
      <c r="AM53">
        <v>86</v>
      </c>
      <c r="AN53">
        <v>0</v>
      </c>
      <c r="AO53" s="22">
        <f t="shared" si="14"/>
        <v>0</v>
      </c>
      <c r="AP53" s="22">
        <f t="shared" si="15"/>
        <v>0</v>
      </c>
      <c r="AQ53" s="22">
        <f t="shared" si="16"/>
        <v>1.6094379124341003</v>
      </c>
      <c r="AR53" s="22">
        <f t="shared" si="17"/>
        <v>4.4659081186545837</v>
      </c>
      <c r="AS53" s="22">
        <f t="shared" si="18"/>
        <v>0</v>
      </c>
    </row>
    <row r="54" spans="1:45" x14ac:dyDescent="0.25">
      <c r="A54" s="1" t="s">
        <v>10</v>
      </c>
      <c r="B54" s="2">
        <v>40015</v>
      </c>
      <c r="C54">
        <v>202</v>
      </c>
      <c r="D54" s="1">
        <v>2009</v>
      </c>
      <c r="E54" s="7">
        <v>2022</v>
      </c>
      <c r="F54">
        <v>57350</v>
      </c>
      <c r="G54" s="44">
        <f t="shared" si="7"/>
        <v>0</v>
      </c>
      <c r="H54" s="6">
        <v>41.868499999999997</v>
      </c>
      <c r="I54" s="6">
        <v>-82.143666666666661</v>
      </c>
      <c r="J54">
        <v>42.1434</v>
      </c>
      <c r="K54">
        <v>-82.285266666666672</v>
      </c>
      <c r="L54">
        <v>41.52558333333333</v>
      </c>
      <c r="M54">
        <v>-81.97645</v>
      </c>
      <c r="N54" s="22">
        <f t="shared" si="19"/>
        <v>0.30922575895291199</v>
      </c>
      <c r="O54" s="22">
        <f t="shared" si="20"/>
        <v>0.38151442160013765</v>
      </c>
      <c r="P54" s="22">
        <f t="shared" si="8"/>
        <v>0.30922575895291199</v>
      </c>
      <c r="S54" s="8">
        <v>21.6</v>
      </c>
      <c r="T54" s="48">
        <v>6</v>
      </c>
      <c r="U54" s="48">
        <v>0</v>
      </c>
      <c r="V54" s="7">
        <v>2914</v>
      </c>
      <c r="W54" s="7">
        <v>20</v>
      </c>
      <c r="X54" s="9">
        <v>1.06</v>
      </c>
      <c r="Y54">
        <v>170</v>
      </c>
      <c r="Z54" s="28">
        <f t="shared" si="9"/>
        <v>0</v>
      </c>
      <c r="AA54" s="28">
        <f t="shared" si="10"/>
        <v>0</v>
      </c>
      <c r="AB54" s="28">
        <f t="shared" si="11"/>
        <v>0.2</v>
      </c>
      <c r="AC54" s="28">
        <f t="shared" si="12"/>
        <v>8.25</v>
      </c>
      <c r="AD54" s="28">
        <f t="shared" si="13"/>
        <v>0</v>
      </c>
      <c r="AE54">
        <v>0</v>
      </c>
      <c r="AF54">
        <v>0</v>
      </c>
      <c r="AG54">
        <v>2.3529411764705882E-2</v>
      </c>
      <c r="AH54">
        <v>0.97058823529411764</v>
      </c>
      <c r="AI54">
        <v>0</v>
      </c>
      <c r="AJ54">
        <v>0</v>
      </c>
      <c r="AK54">
        <v>0</v>
      </c>
      <c r="AL54">
        <v>4</v>
      </c>
      <c r="AM54">
        <v>165</v>
      </c>
      <c r="AN54">
        <v>0</v>
      </c>
      <c r="AO54" s="22">
        <f t="shared" si="14"/>
        <v>0</v>
      </c>
      <c r="AP54" s="22">
        <f t="shared" si="15"/>
        <v>0</v>
      </c>
      <c r="AQ54" s="22">
        <f t="shared" si="16"/>
        <v>1.6094379124341003</v>
      </c>
      <c r="AR54" s="22">
        <f t="shared" si="17"/>
        <v>5.1119877883565437</v>
      </c>
      <c r="AS54" s="22">
        <f t="shared" si="18"/>
        <v>0</v>
      </c>
    </row>
    <row r="55" spans="1:45" x14ac:dyDescent="0.25">
      <c r="A55" s="1" t="s">
        <v>10</v>
      </c>
      <c r="B55" s="2">
        <v>40365</v>
      </c>
      <c r="C55">
        <v>187</v>
      </c>
      <c r="D55" s="1">
        <v>2010</v>
      </c>
      <c r="E55">
        <v>1001</v>
      </c>
      <c r="F55">
        <v>58100</v>
      </c>
      <c r="G55" s="44">
        <f t="shared" si="7"/>
        <v>1</v>
      </c>
      <c r="H55" s="13">
        <v>42.39</v>
      </c>
      <c r="I55" s="13">
        <v>-80.917166666666674</v>
      </c>
      <c r="J55">
        <v>42.632766666666669</v>
      </c>
      <c r="K55">
        <v>-81.01636666666667</v>
      </c>
      <c r="L55">
        <v>41.96221666666667</v>
      </c>
      <c r="M55">
        <v>-80.744650000000007</v>
      </c>
      <c r="N55" s="22">
        <f t="shared" si="19"/>
        <v>0.26225234878727854</v>
      </c>
      <c r="O55" s="22">
        <f t="shared" si="20"/>
        <v>0.46125977556638642</v>
      </c>
      <c r="P55" s="22">
        <f t="shared" si="8"/>
        <v>0.26225234878727854</v>
      </c>
      <c r="Q55" s="10"/>
      <c r="R55">
        <v>16.3</v>
      </c>
      <c r="S55">
        <v>20.7</v>
      </c>
      <c r="T55" s="1">
        <v>16</v>
      </c>
      <c r="U55" s="1">
        <v>1</v>
      </c>
      <c r="V55" s="33">
        <v>2218</v>
      </c>
      <c r="W55" s="31">
        <v>20</v>
      </c>
      <c r="X55" s="32">
        <v>0.87</v>
      </c>
      <c r="Y55">
        <v>10</v>
      </c>
      <c r="Z55" s="28">
        <f t="shared" si="9"/>
        <v>0</v>
      </c>
      <c r="AA55" s="28">
        <f t="shared" si="10"/>
        <v>0.05</v>
      </c>
      <c r="AB55" s="28">
        <f t="shared" si="11"/>
        <v>0.05</v>
      </c>
      <c r="AC55" s="28">
        <f t="shared" si="12"/>
        <v>0.05</v>
      </c>
      <c r="AD55" s="28">
        <f t="shared" si="13"/>
        <v>0.05</v>
      </c>
      <c r="AE55">
        <f t="shared" ref="AE55:AE118" si="21">AJ55/$Y55</f>
        <v>0</v>
      </c>
      <c r="AF55">
        <f t="shared" ref="AF55:AF118" si="22">AK55/$Y55</f>
        <v>0.1</v>
      </c>
      <c r="AG55">
        <f t="shared" ref="AG55:AG118" si="23">AL55/$Y55</f>
        <v>0.1</v>
      </c>
      <c r="AH55">
        <f t="shared" ref="AH55:AH118" si="24">AM55/$Y55</f>
        <v>0.1</v>
      </c>
      <c r="AI55">
        <f t="shared" ref="AI55:AI118" si="25">AN55/$Y55</f>
        <v>0.1</v>
      </c>
      <c r="AJ55">
        <v>0</v>
      </c>
      <c r="AK55">
        <v>1</v>
      </c>
      <c r="AL55">
        <v>1</v>
      </c>
      <c r="AM55">
        <v>1</v>
      </c>
      <c r="AN55">
        <v>1</v>
      </c>
      <c r="AO55" s="22">
        <f t="shared" si="14"/>
        <v>0</v>
      </c>
      <c r="AP55" s="22">
        <f t="shared" si="15"/>
        <v>0.69314718055994529</v>
      </c>
      <c r="AQ55" s="22">
        <f t="shared" si="16"/>
        <v>0.69314718055994529</v>
      </c>
      <c r="AR55" s="22">
        <f t="shared" si="17"/>
        <v>0.69314718055994529</v>
      </c>
      <c r="AS55" s="22">
        <f t="shared" si="18"/>
        <v>0.69314718055994529</v>
      </c>
    </row>
    <row r="56" spans="1:45" x14ac:dyDescent="0.25">
      <c r="A56" s="1" t="s">
        <v>10</v>
      </c>
      <c r="B56" s="2">
        <v>40365</v>
      </c>
      <c r="C56">
        <v>187</v>
      </c>
      <c r="D56" s="1">
        <v>2010</v>
      </c>
      <c r="E56">
        <v>1002</v>
      </c>
      <c r="F56">
        <v>58100</v>
      </c>
      <c r="G56" s="44">
        <f t="shared" si="7"/>
        <v>1</v>
      </c>
      <c r="H56" s="13">
        <v>42.403833333333331</v>
      </c>
      <c r="I56" s="6">
        <v>-80.924833333333353</v>
      </c>
      <c r="J56">
        <v>42.632766666666669</v>
      </c>
      <c r="K56">
        <v>-81.01636666666667</v>
      </c>
      <c r="L56">
        <v>41.96221666666667</v>
      </c>
      <c r="M56">
        <v>-80.744650000000007</v>
      </c>
      <c r="N56" s="22">
        <f t="shared" si="19"/>
        <v>0.24655389313945344</v>
      </c>
      <c r="O56" s="22">
        <f t="shared" si="20"/>
        <v>0.47696049510298932</v>
      </c>
      <c r="P56" s="22">
        <f t="shared" si="8"/>
        <v>0.24655389313945344</v>
      </c>
      <c r="Q56" s="10"/>
      <c r="R56">
        <v>11.200000000000001</v>
      </c>
      <c r="S56">
        <v>20.7</v>
      </c>
      <c r="T56" s="21">
        <v>19</v>
      </c>
      <c r="U56" s="47">
        <v>1</v>
      </c>
      <c r="V56" s="33">
        <v>2308</v>
      </c>
      <c r="W56" s="31">
        <v>20</v>
      </c>
      <c r="X56" s="32">
        <v>0.94</v>
      </c>
      <c r="Y56">
        <v>343</v>
      </c>
      <c r="Z56" s="28">
        <f t="shared" si="9"/>
        <v>0</v>
      </c>
      <c r="AA56" s="28">
        <f t="shared" si="10"/>
        <v>0.1</v>
      </c>
      <c r="AB56" s="28">
        <f t="shared" si="11"/>
        <v>0.8</v>
      </c>
      <c r="AC56" s="28">
        <f t="shared" si="12"/>
        <v>0</v>
      </c>
      <c r="AD56" s="28">
        <f t="shared" si="13"/>
        <v>0.05</v>
      </c>
      <c r="AE56">
        <f t="shared" si="21"/>
        <v>0</v>
      </c>
      <c r="AF56">
        <f t="shared" si="22"/>
        <v>5.8309037900874635E-3</v>
      </c>
      <c r="AG56">
        <f t="shared" si="23"/>
        <v>4.6647230320699708E-2</v>
      </c>
      <c r="AH56">
        <f t="shared" si="24"/>
        <v>0</v>
      </c>
      <c r="AI56">
        <f t="shared" si="25"/>
        <v>2.9154518950437317E-3</v>
      </c>
      <c r="AJ56">
        <v>0</v>
      </c>
      <c r="AK56">
        <v>2</v>
      </c>
      <c r="AL56">
        <v>16</v>
      </c>
      <c r="AM56">
        <v>0</v>
      </c>
      <c r="AN56">
        <v>1</v>
      </c>
      <c r="AO56" s="22">
        <f t="shared" si="14"/>
        <v>0</v>
      </c>
      <c r="AP56" s="22">
        <f t="shared" si="15"/>
        <v>1.0986122886681098</v>
      </c>
      <c r="AQ56" s="22">
        <f t="shared" si="16"/>
        <v>2.8332133440562162</v>
      </c>
      <c r="AR56" s="22">
        <f t="shared" si="17"/>
        <v>0</v>
      </c>
      <c r="AS56" s="22">
        <f t="shared" si="18"/>
        <v>0.69314718055994529</v>
      </c>
    </row>
    <row r="57" spans="1:45" x14ac:dyDescent="0.25">
      <c r="A57" s="1" t="s">
        <v>10</v>
      </c>
      <c r="B57" s="2">
        <v>40365</v>
      </c>
      <c r="C57">
        <v>187</v>
      </c>
      <c r="D57" s="1">
        <v>2010</v>
      </c>
      <c r="E57">
        <v>1003</v>
      </c>
      <c r="F57">
        <v>58100</v>
      </c>
      <c r="G57" s="44">
        <f t="shared" si="7"/>
        <v>1</v>
      </c>
      <c r="H57" s="13">
        <v>42.390833333333333</v>
      </c>
      <c r="I57" s="6">
        <v>-80.918999999999997</v>
      </c>
      <c r="J57">
        <v>42.632766666666669</v>
      </c>
      <c r="K57">
        <v>-81.01636666666667</v>
      </c>
      <c r="L57">
        <v>41.96221666666667</v>
      </c>
      <c r="M57">
        <v>-80.744650000000007</v>
      </c>
      <c r="N57" s="22">
        <f t="shared" si="19"/>
        <v>0.26079111479411615</v>
      </c>
      <c r="O57" s="22">
        <f t="shared" si="20"/>
        <v>0.46272040093823164</v>
      </c>
      <c r="P57" s="22">
        <f t="shared" si="8"/>
        <v>0.26079111479411615</v>
      </c>
      <c r="Q57" s="10"/>
      <c r="R57">
        <v>11.3</v>
      </c>
      <c r="S57">
        <v>20.6</v>
      </c>
      <c r="T57" s="21">
        <v>17</v>
      </c>
      <c r="U57" s="21">
        <v>1</v>
      </c>
      <c r="V57" s="33">
        <v>2404</v>
      </c>
      <c r="W57" s="31">
        <v>20</v>
      </c>
      <c r="X57" s="32">
        <v>0.96</v>
      </c>
      <c r="Y57">
        <v>7</v>
      </c>
      <c r="Z57" s="28">
        <f t="shared" si="9"/>
        <v>0</v>
      </c>
      <c r="AA57" s="28">
        <f t="shared" si="10"/>
        <v>0.05</v>
      </c>
      <c r="AB57" s="28">
        <f t="shared" si="11"/>
        <v>0.05</v>
      </c>
      <c r="AC57" s="28">
        <f t="shared" si="12"/>
        <v>0</v>
      </c>
      <c r="AD57" s="28">
        <f t="shared" si="13"/>
        <v>0</v>
      </c>
      <c r="AE57">
        <f t="shared" si="21"/>
        <v>0</v>
      </c>
      <c r="AF57">
        <f t="shared" si="22"/>
        <v>0.14285714285714285</v>
      </c>
      <c r="AG57">
        <f t="shared" si="23"/>
        <v>0.14285714285714285</v>
      </c>
      <c r="AH57">
        <f t="shared" si="24"/>
        <v>0</v>
      </c>
      <c r="AI57">
        <f t="shared" si="25"/>
        <v>0</v>
      </c>
      <c r="AJ57">
        <v>0</v>
      </c>
      <c r="AK57">
        <v>1</v>
      </c>
      <c r="AL57">
        <v>1</v>
      </c>
      <c r="AM57">
        <v>0</v>
      </c>
      <c r="AN57">
        <v>0</v>
      </c>
      <c r="AO57" s="22">
        <f t="shared" si="14"/>
        <v>0</v>
      </c>
      <c r="AP57" s="22">
        <f t="shared" si="15"/>
        <v>0.69314718055994529</v>
      </c>
      <c r="AQ57" s="22">
        <f t="shared" si="16"/>
        <v>0.69314718055994529</v>
      </c>
      <c r="AR57" s="22">
        <f t="shared" si="17"/>
        <v>0</v>
      </c>
      <c r="AS57" s="22">
        <f t="shared" si="18"/>
        <v>0</v>
      </c>
    </row>
    <row r="58" spans="1:45" x14ac:dyDescent="0.25">
      <c r="A58" s="1" t="s">
        <v>10</v>
      </c>
      <c r="B58" s="2">
        <v>40365</v>
      </c>
      <c r="C58">
        <v>187</v>
      </c>
      <c r="D58" s="1">
        <v>2010</v>
      </c>
      <c r="E58">
        <v>1004</v>
      </c>
      <c r="F58">
        <v>58100</v>
      </c>
      <c r="G58" s="44">
        <f t="shared" si="7"/>
        <v>1</v>
      </c>
      <c r="H58" s="13">
        <v>42.405000000000001</v>
      </c>
      <c r="I58" s="6">
        <v>-80.924999999999997</v>
      </c>
      <c r="J58">
        <v>42.632766666666669</v>
      </c>
      <c r="K58">
        <v>-81.01636666666667</v>
      </c>
      <c r="L58">
        <v>41.96221666666667</v>
      </c>
      <c r="M58">
        <v>-80.744650000000007</v>
      </c>
      <c r="N58" s="22">
        <f t="shared" si="19"/>
        <v>0.24540888782239276</v>
      </c>
      <c r="O58" s="22">
        <f t="shared" si="20"/>
        <v>0.47810375733492433</v>
      </c>
      <c r="P58" s="22">
        <f t="shared" si="8"/>
        <v>0.24540888782239276</v>
      </c>
      <c r="Q58" s="10"/>
      <c r="R58">
        <v>22.5</v>
      </c>
      <c r="S58">
        <v>20.7</v>
      </c>
      <c r="T58" s="21">
        <v>6</v>
      </c>
      <c r="U58" s="47">
        <v>0</v>
      </c>
      <c r="V58" s="33">
        <v>2445</v>
      </c>
      <c r="W58" s="31">
        <v>20</v>
      </c>
      <c r="X58" s="32">
        <v>0.97</v>
      </c>
      <c r="Y58">
        <v>4</v>
      </c>
      <c r="Z58" s="28">
        <f t="shared" si="9"/>
        <v>0</v>
      </c>
      <c r="AA58" s="28">
        <f t="shared" si="10"/>
        <v>0.15</v>
      </c>
      <c r="AB58" s="28">
        <f t="shared" si="11"/>
        <v>0</v>
      </c>
      <c r="AC58" s="28">
        <f t="shared" si="12"/>
        <v>0.05</v>
      </c>
      <c r="AD58" s="28">
        <f t="shared" si="13"/>
        <v>0</v>
      </c>
      <c r="AE58">
        <f t="shared" si="21"/>
        <v>0</v>
      </c>
      <c r="AF58">
        <f t="shared" si="22"/>
        <v>0.75</v>
      </c>
      <c r="AG58">
        <f t="shared" si="23"/>
        <v>0</v>
      </c>
      <c r="AH58">
        <f t="shared" si="24"/>
        <v>0.25</v>
      </c>
      <c r="AI58">
        <f t="shared" si="25"/>
        <v>0</v>
      </c>
      <c r="AJ58">
        <v>0</v>
      </c>
      <c r="AK58">
        <v>3</v>
      </c>
      <c r="AL58">
        <v>0</v>
      </c>
      <c r="AM58">
        <v>1</v>
      </c>
      <c r="AN58">
        <v>0</v>
      </c>
      <c r="AO58" s="22">
        <f t="shared" si="14"/>
        <v>0</v>
      </c>
      <c r="AP58" s="22">
        <f t="shared" si="15"/>
        <v>1.3862943611198906</v>
      </c>
      <c r="AQ58" s="22">
        <f t="shared" si="16"/>
        <v>0</v>
      </c>
      <c r="AR58" s="22">
        <f t="shared" si="17"/>
        <v>0.69314718055994529</v>
      </c>
      <c r="AS58" s="22">
        <f t="shared" si="18"/>
        <v>0</v>
      </c>
    </row>
    <row r="59" spans="1:45" x14ac:dyDescent="0.25">
      <c r="A59" s="1" t="s">
        <v>10</v>
      </c>
      <c r="B59" s="2">
        <v>40365</v>
      </c>
      <c r="C59">
        <v>187</v>
      </c>
      <c r="D59" s="1">
        <v>2010</v>
      </c>
      <c r="E59">
        <v>1005</v>
      </c>
      <c r="F59">
        <v>58100</v>
      </c>
      <c r="G59" s="44">
        <f t="shared" si="7"/>
        <v>1</v>
      </c>
      <c r="H59" s="13">
        <v>42.572333333333333</v>
      </c>
      <c r="I59" s="6">
        <v>-80.991</v>
      </c>
      <c r="J59">
        <v>42.632766666666669</v>
      </c>
      <c r="K59">
        <v>-81.01636666666667</v>
      </c>
      <c r="L59">
        <v>41.96221666666667</v>
      </c>
      <c r="M59">
        <v>-80.744650000000007</v>
      </c>
      <c r="N59" s="22">
        <f t="shared" si="19"/>
        <v>6.554125079334415E-2</v>
      </c>
      <c r="O59" s="22">
        <f t="shared" si="20"/>
        <v>0.65797467234266405</v>
      </c>
      <c r="P59" s="22">
        <f t="shared" si="8"/>
        <v>6.554125079334415E-2</v>
      </c>
      <c r="Q59" s="10"/>
      <c r="R59">
        <v>14.6</v>
      </c>
      <c r="S59">
        <v>17</v>
      </c>
      <c r="T59" s="21">
        <v>10</v>
      </c>
      <c r="U59" s="21">
        <v>0</v>
      </c>
      <c r="V59" s="33">
        <v>2646</v>
      </c>
      <c r="W59" s="31">
        <v>20</v>
      </c>
      <c r="X59" s="32">
        <v>0.96</v>
      </c>
      <c r="Y59">
        <v>29</v>
      </c>
      <c r="Z59" s="28">
        <f t="shared" si="9"/>
        <v>0</v>
      </c>
      <c r="AA59" s="28">
        <f t="shared" si="10"/>
        <v>0</v>
      </c>
      <c r="AB59" s="28">
        <f t="shared" si="11"/>
        <v>0.7</v>
      </c>
      <c r="AC59" s="28">
        <f t="shared" si="12"/>
        <v>0.7</v>
      </c>
      <c r="AD59" s="28">
        <f t="shared" si="13"/>
        <v>0</v>
      </c>
      <c r="AE59">
        <f t="shared" si="21"/>
        <v>0</v>
      </c>
      <c r="AF59">
        <f t="shared" si="22"/>
        <v>0</v>
      </c>
      <c r="AG59">
        <f t="shared" si="23"/>
        <v>0.48275862068965519</v>
      </c>
      <c r="AH59">
        <f t="shared" si="24"/>
        <v>0.48275862068965519</v>
      </c>
      <c r="AI59">
        <f t="shared" si="25"/>
        <v>0</v>
      </c>
      <c r="AJ59">
        <v>0</v>
      </c>
      <c r="AK59">
        <v>0</v>
      </c>
      <c r="AL59">
        <v>14</v>
      </c>
      <c r="AM59">
        <v>14</v>
      </c>
      <c r="AN59">
        <v>0</v>
      </c>
      <c r="AO59" s="22">
        <f t="shared" si="14"/>
        <v>0</v>
      </c>
      <c r="AP59" s="22">
        <f t="shared" si="15"/>
        <v>0</v>
      </c>
      <c r="AQ59" s="22">
        <f t="shared" si="16"/>
        <v>2.7080502011022101</v>
      </c>
      <c r="AR59" s="22">
        <f t="shared" si="17"/>
        <v>2.7080502011022101</v>
      </c>
      <c r="AS59" s="22">
        <f t="shared" si="18"/>
        <v>0</v>
      </c>
    </row>
    <row r="60" spans="1:45" x14ac:dyDescent="0.25">
      <c r="A60" s="1" t="s">
        <v>10</v>
      </c>
      <c r="B60" s="2">
        <v>40365</v>
      </c>
      <c r="C60">
        <v>187</v>
      </c>
      <c r="D60" s="1">
        <v>2010</v>
      </c>
      <c r="E60">
        <v>1006</v>
      </c>
      <c r="F60">
        <v>58100</v>
      </c>
      <c r="G60" s="44">
        <f t="shared" si="7"/>
        <v>1</v>
      </c>
      <c r="H60" s="13">
        <v>42.566333333333333</v>
      </c>
      <c r="I60" s="6">
        <v>-80.984666666666669</v>
      </c>
      <c r="J60">
        <v>42.632766666666669</v>
      </c>
      <c r="K60">
        <v>-81.01636666666667</v>
      </c>
      <c r="L60">
        <v>41.96221666666667</v>
      </c>
      <c r="M60">
        <v>-80.744650000000007</v>
      </c>
      <c r="N60" s="22">
        <f t="shared" si="19"/>
        <v>7.3608951750301257E-2</v>
      </c>
      <c r="O60" s="22">
        <f t="shared" si="20"/>
        <v>0.65004995748189631</v>
      </c>
      <c r="P60" s="22">
        <f t="shared" si="8"/>
        <v>7.3608951750301257E-2</v>
      </c>
      <c r="Q60" s="10"/>
      <c r="R60">
        <v>15.300000000000002</v>
      </c>
      <c r="S60">
        <v>17</v>
      </c>
      <c r="T60" s="21">
        <v>7</v>
      </c>
      <c r="U60" s="47">
        <v>0</v>
      </c>
      <c r="V60" s="33">
        <v>2735</v>
      </c>
      <c r="W60" s="31">
        <v>20</v>
      </c>
      <c r="X60" s="32">
        <v>0.93</v>
      </c>
      <c r="Y60">
        <v>13</v>
      </c>
      <c r="Z60" s="28">
        <f t="shared" si="9"/>
        <v>0</v>
      </c>
      <c r="AA60" s="28">
        <f t="shared" si="10"/>
        <v>0</v>
      </c>
      <c r="AB60" s="28">
        <f t="shared" si="11"/>
        <v>0.05</v>
      </c>
      <c r="AC60" s="28">
        <f t="shared" si="12"/>
        <v>0.55000000000000004</v>
      </c>
      <c r="AD60" s="28">
        <f t="shared" si="13"/>
        <v>0</v>
      </c>
      <c r="AE60">
        <f t="shared" si="21"/>
        <v>0</v>
      </c>
      <c r="AF60">
        <f t="shared" si="22"/>
        <v>0</v>
      </c>
      <c r="AG60">
        <f t="shared" si="23"/>
        <v>7.6923076923076927E-2</v>
      </c>
      <c r="AH60">
        <f t="shared" si="24"/>
        <v>0.84615384615384615</v>
      </c>
      <c r="AI60">
        <f t="shared" si="25"/>
        <v>0</v>
      </c>
      <c r="AJ60">
        <v>0</v>
      </c>
      <c r="AK60">
        <v>0</v>
      </c>
      <c r="AL60">
        <v>1</v>
      </c>
      <c r="AM60">
        <v>11</v>
      </c>
      <c r="AN60">
        <v>0</v>
      </c>
      <c r="AO60" s="22">
        <f t="shared" si="14"/>
        <v>0</v>
      </c>
      <c r="AP60" s="22">
        <f t="shared" si="15"/>
        <v>0</v>
      </c>
      <c r="AQ60" s="22">
        <f t="shared" si="16"/>
        <v>0.69314718055994529</v>
      </c>
      <c r="AR60" s="22">
        <f t="shared" si="17"/>
        <v>2.4849066497880004</v>
      </c>
      <c r="AS60" s="22">
        <f t="shared" si="18"/>
        <v>0</v>
      </c>
    </row>
    <row r="61" spans="1:45" x14ac:dyDescent="0.25">
      <c r="A61" s="1" t="s">
        <v>10</v>
      </c>
      <c r="B61" s="2">
        <v>40365</v>
      </c>
      <c r="C61">
        <v>187</v>
      </c>
      <c r="D61" s="1">
        <v>2010</v>
      </c>
      <c r="E61">
        <v>1007</v>
      </c>
      <c r="F61">
        <v>58100</v>
      </c>
      <c r="G61" s="44">
        <f t="shared" si="7"/>
        <v>1</v>
      </c>
      <c r="H61" s="13">
        <v>42.5655</v>
      </c>
      <c r="I61" s="6">
        <v>-80.983833333333337</v>
      </c>
      <c r="J61">
        <v>42.632766666666669</v>
      </c>
      <c r="K61">
        <v>-81.01636666666667</v>
      </c>
      <c r="L61">
        <v>41.96221666666667</v>
      </c>
      <c r="M61">
        <v>-80.744650000000007</v>
      </c>
      <c r="N61" s="22">
        <f t="shared" si="19"/>
        <v>7.4720962401607749E-2</v>
      </c>
      <c r="O61" s="22">
        <f t="shared" si="20"/>
        <v>0.64896798628454422</v>
      </c>
      <c r="P61" s="22">
        <f t="shared" si="8"/>
        <v>7.4720962401607749E-2</v>
      </c>
      <c r="Q61" s="10"/>
      <c r="R61">
        <v>15.300000000000002</v>
      </c>
      <c r="S61">
        <v>16.7</v>
      </c>
      <c r="T61" s="21">
        <v>13</v>
      </c>
      <c r="U61" s="21">
        <v>0</v>
      </c>
      <c r="V61" s="33">
        <v>2831</v>
      </c>
      <c r="W61" s="31">
        <v>20</v>
      </c>
      <c r="X61" s="32">
        <v>0.96</v>
      </c>
      <c r="Y61">
        <v>26</v>
      </c>
      <c r="Z61" s="28">
        <f t="shared" si="9"/>
        <v>0</v>
      </c>
      <c r="AA61" s="28">
        <f t="shared" si="10"/>
        <v>0</v>
      </c>
      <c r="AB61" s="28">
        <f t="shared" si="11"/>
        <v>1.1000000000000001</v>
      </c>
      <c r="AC61" s="28">
        <f t="shared" si="12"/>
        <v>0.15</v>
      </c>
      <c r="AD61" s="28">
        <f t="shared" si="13"/>
        <v>0</v>
      </c>
      <c r="AE61">
        <f t="shared" si="21"/>
        <v>0</v>
      </c>
      <c r="AF61">
        <f t="shared" si="22"/>
        <v>0</v>
      </c>
      <c r="AG61">
        <f t="shared" si="23"/>
        <v>0.84615384615384615</v>
      </c>
      <c r="AH61">
        <f t="shared" si="24"/>
        <v>0.11538461538461539</v>
      </c>
      <c r="AI61">
        <f t="shared" si="25"/>
        <v>0</v>
      </c>
      <c r="AJ61">
        <v>0</v>
      </c>
      <c r="AK61">
        <v>0</v>
      </c>
      <c r="AL61">
        <v>22</v>
      </c>
      <c r="AM61">
        <v>3</v>
      </c>
      <c r="AN61">
        <v>0</v>
      </c>
      <c r="AO61" s="22">
        <f t="shared" si="14"/>
        <v>0</v>
      </c>
      <c r="AP61" s="22">
        <f t="shared" si="15"/>
        <v>0</v>
      </c>
      <c r="AQ61" s="22">
        <f t="shared" si="16"/>
        <v>3.1354942159291497</v>
      </c>
      <c r="AR61" s="22">
        <f t="shared" si="17"/>
        <v>1.3862943611198906</v>
      </c>
      <c r="AS61" s="22">
        <f t="shared" si="18"/>
        <v>0</v>
      </c>
    </row>
    <row r="62" spans="1:45" x14ac:dyDescent="0.25">
      <c r="A62" s="1" t="s">
        <v>10</v>
      </c>
      <c r="B62" s="2">
        <v>40365</v>
      </c>
      <c r="C62">
        <v>187</v>
      </c>
      <c r="D62" s="1">
        <v>2010</v>
      </c>
      <c r="E62">
        <v>1008</v>
      </c>
      <c r="F62">
        <v>58100</v>
      </c>
      <c r="G62" s="44">
        <f t="shared" si="7"/>
        <v>1</v>
      </c>
      <c r="H62" s="13">
        <v>42.612666666666669</v>
      </c>
      <c r="I62" s="6">
        <v>-81.004666666666665</v>
      </c>
      <c r="J62">
        <v>42.632766666666669</v>
      </c>
      <c r="K62">
        <v>-81.01636666666667</v>
      </c>
      <c r="L62">
        <v>41.96221666666667</v>
      </c>
      <c r="M62">
        <v>-80.744650000000007</v>
      </c>
      <c r="N62" s="22">
        <f t="shared" si="19"/>
        <v>2.3257256931978967E-2</v>
      </c>
      <c r="O62" s="22">
        <f t="shared" si="20"/>
        <v>0.70049544569857058</v>
      </c>
      <c r="P62" s="22">
        <f t="shared" si="8"/>
        <v>2.3257256931978967E-2</v>
      </c>
      <c r="Q62" s="10"/>
      <c r="R62">
        <v>14.3</v>
      </c>
      <c r="S62">
        <v>14.6</v>
      </c>
      <c r="T62" s="21">
        <v>6</v>
      </c>
      <c r="U62" s="47">
        <v>0</v>
      </c>
      <c r="V62" s="33">
        <v>2926</v>
      </c>
      <c r="W62" s="31">
        <v>20</v>
      </c>
      <c r="X62" s="32">
        <v>0.95</v>
      </c>
      <c r="Y62">
        <v>447</v>
      </c>
      <c r="Z62" s="28">
        <f t="shared" si="9"/>
        <v>0</v>
      </c>
      <c r="AA62" s="28">
        <f t="shared" si="10"/>
        <v>0</v>
      </c>
      <c r="AB62" s="28">
        <f t="shared" si="11"/>
        <v>10.3</v>
      </c>
      <c r="AC62" s="28">
        <f t="shared" si="12"/>
        <v>10</v>
      </c>
      <c r="AD62" s="28">
        <f t="shared" si="13"/>
        <v>0.05</v>
      </c>
      <c r="AE62">
        <f t="shared" si="21"/>
        <v>0</v>
      </c>
      <c r="AF62">
        <f t="shared" si="22"/>
        <v>0</v>
      </c>
      <c r="AG62">
        <f t="shared" si="23"/>
        <v>0.46085011185682329</v>
      </c>
      <c r="AH62">
        <f t="shared" si="24"/>
        <v>0.44742729306487694</v>
      </c>
      <c r="AI62">
        <f t="shared" si="25"/>
        <v>2.2371364653243847E-3</v>
      </c>
      <c r="AJ62">
        <v>0</v>
      </c>
      <c r="AK62">
        <v>0</v>
      </c>
      <c r="AL62">
        <v>206</v>
      </c>
      <c r="AM62">
        <v>200</v>
      </c>
      <c r="AN62">
        <v>1</v>
      </c>
      <c r="AO62" s="22">
        <f t="shared" si="14"/>
        <v>0</v>
      </c>
      <c r="AP62" s="22">
        <f t="shared" si="15"/>
        <v>0</v>
      </c>
      <c r="AQ62" s="22">
        <f t="shared" si="16"/>
        <v>5.3327187932653688</v>
      </c>
      <c r="AR62" s="22">
        <f t="shared" si="17"/>
        <v>5.3033049080590757</v>
      </c>
      <c r="AS62" s="22">
        <f t="shared" si="18"/>
        <v>0.69314718055994529</v>
      </c>
    </row>
    <row r="63" spans="1:45" x14ac:dyDescent="0.25">
      <c r="A63" s="1" t="s">
        <v>10</v>
      </c>
      <c r="B63" s="2">
        <v>40366</v>
      </c>
      <c r="C63">
        <v>188</v>
      </c>
      <c r="D63" s="1">
        <v>2010</v>
      </c>
      <c r="E63">
        <v>2001</v>
      </c>
      <c r="F63">
        <v>57850</v>
      </c>
      <c r="G63" s="44">
        <f t="shared" si="7"/>
        <v>1</v>
      </c>
      <c r="H63" s="13">
        <v>42.56433333333333</v>
      </c>
      <c r="I63" s="6">
        <v>-81.471333333333334</v>
      </c>
      <c r="J63">
        <v>42.566916666666664</v>
      </c>
      <c r="K63">
        <v>-81.47208333333333</v>
      </c>
      <c r="L63">
        <v>41.819366666666667</v>
      </c>
      <c r="M63">
        <v>-81.155166666666673</v>
      </c>
      <c r="N63" s="22">
        <f t="shared" si="19"/>
        <v>2.6900020652609862E-3</v>
      </c>
      <c r="O63" s="22">
        <f t="shared" si="20"/>
        <v>0.80928159225052576</v>
      </c>
      <c r="P63" s="22">
        <f t="shared" si="8"/>
        <v>2.6900020652609862E-3</v>
      </c>
      <c r="Q63" s="10"/>
      <c r="R63">
        <v>12.4</v>
      </c>
      <c r="S63">
        <v>10.7</v>
      </c>
      <c r="T63" s="21">
        <v>8</v>
      </c>
      <c r="U63" s="47">
        <v>0</v>
      </c>
      <c r="V63" s="33">
        <v>2208</v>
      </c>
      <c r="W63" s="31">
        <v>20</v>
      </c>
      <c r="X63" s="32">
        <v>0.96</v>
      </c>
      <c r="Y63">
        <v>1070</v>
      </c>
      <c r="Z63" s="28">
        <f t="shared" si="9"/>
        <v>0</v>
      </c>
      <c r="AA63" s="28">
        <f t="shared" si="10"/>
        <v>0.05</v>
      </c>
      <c r="AB63" s="28">
        <f t="shared" si="11"/>
        <v>53.35</v>
      </c>
      <c r="AC63" s="28">
        <f t="shared" si="12"/>
        <v>0</v>
      </c>
      <c r="AD63" s="28">
        <f t="shared" si="13"/>
        <v>0</v>
      </c>
      <c r="AE63">
        <f t="shared" si="21"/>
        <v>0</v>
      </c>
      <c r="AF63">
        <f t="shared" si="22"/>
        <v>9.3457943925233649E-4</v>
      </c>
      <c r="AG63">
        <f t="shared" si="23"/>
        <v>0.99719626168224296</v>
      </c>
      <c r="AH63">
        <f t="shared" si="24"/>
        <v>0</v>
      </c>
      <c r="AI63">
        <f t="shared" si="25"/>
        <v>0</v>
      </c>
      <c r="AJ63">
        <v>0</v>
      </c>
      <c r="AK63">
        <v>1</v>
      </c>
      <c r="AL63">
        <v>1067</v>
      </c>
      <c r="AM63">
        <v>0</v>
      </c>
      <c r="AN63">
        <v>0</v>
      </c>
      <c r="AO63" s="22">
        <f t="shared" si="14"/>
        <v>0</v>
      </c>
      <c r="AP63" s="22">
        <f t="shared" si="15"/>
        <v>0.69314718055994529</v>
      </c>
      <c r="AQ63" s="22">
        <f t="shared" si="16"/>
        <v>6.9735430195201404</v>
      </c>
      <c r="AR63" s="22">
        <f t="shared" si="17"/>
        <v>0</v>
      </c>
      <c r="AS63" s="22">
        <f t="shared" si="18"/>
        <v>0</v>
      </c>
    </row>
    <row r="64" spans="1:45" x14ac:dyDescent="0.25">
      <c r="A64" s="1" t="s">
        <v>10</v>
      </c>
      <c r="B64" s="2">
        <v>40366</v>
      </c>
      <c r="C64">
        <v>188</v>
      </c>
      <c r="D64" s="1">
        <v>2010</v>
      </c>
      <c r="E64">
        <v>2002</v>
      </c>
      <c r="F64">
        <v>57850</v>
      </c>
      <c r="G64" s="44">
        <f t="shared" si="7"/>
        <v>1</v>
      </c>
      <c r="H64" s="13">
        <v>42.545166666666667</v>
      </c>
      <c r="I64" s="6">
        <v>-81.460666666666668</v>
      </c>
      <c r="J64">
        <v>42.566916666666664</v>
      </c>
      <c r="K64">
        <v>-81.47208333333333</v>
      </c>
      <c r="L64">
        <v>41.819366666666667</v>
      </c>
      <c r="M64">
        <v>-81.155166666666673</v>
      </c>
      <c r="N64" s="22">
        <f t="shared" si="19"/>
        <v>2.4564258136112144E-2</v>
      </c>
      <c r="O64" s="22">
        <f t="shared" si="20"/>
        <v>0.78747437418623112</v>
      </c>
      <c r="P64" s="22">
        <f t="shared" si="8"/>
        <v>2.4564258136112144E-2</v>
      </c>
      <c r="Q64" s="10"/>
      <c r="R64">
        <v>16.100000000000001</v>
      </c>
      <c r="S64">
        <v>14.4</v>
      </c>
      <c r="T64" s="21">
        <v>5</v>
      </c>
      <c r="U64" s="47">
        <v>0</v>
      </c>
      <c r="V64" s="33">
        <v>2246</v>
      </c>
      <c r="W64" s="31">
        <v>20</v>
      </c>
      <c r="X64" s="32">
        <v>0.96</v>
      </c>
      <c r="Y64">
        <v>78</v>
      </c>
      <c r="Z64" s="28">
        <f t="shared" si="9"/>
        <v>0</v>
      </c>
      <c r="AA64" s="28">
        <f t="shared" si="10"/>
        <v>3.55</v>
      </c>
      <c r="AB64" s="28">
        <f t="shared" si="11"/>
        <v>0.05</v>
      </c>
      <c r="AC64" s="28">
        <f t="shared" si="12"/>
        <v>0</v>
      </c>
      <c r="AD64" s="28">
        <f t="shared" si="13"/>
        <v>0.3</v>
      </c>
      <c r="AE64">
        <f t="shared" si="21"/>
        <v>0</v>
      </c>
      <c r="AF64">
        <f t="shared" si="22"/>
        <v>0.91025641025641024</v>
      </c>
      <c r="AG64">
        <f t="shared" si="23"/>
        <v>1.282051282051282E-2</v>
      </c>
      <c r="AH64">
        <f t="shared" si="24"/>
        <v>0</v>
      </c>
      <c r="AI64">
        <f t="shared" si="25"/>
        <v>7.6923076923076927E-2</v>
      </c>
      <c r="AJ64">
        <v>0</v>
      </c>
      <c r="AK64">
        <v>71</v>
      </c>
      <c r="AL64">
        <v>1</v>
      </c>
      <c r="AM64">
        <v>0</v>
      </c>
      <c r="AN64">
        <v>6</v>
      </c>
      <c r="AO64" s="22">
        <f t="shared" si="14"/>
        <v>0</v>
      </c>
      <c r="AP64" s="22">
        <f t="shared" si="15"/>
        <v>4.2766661190160553</v>
      </c>
      <c r="AQ64" s="22">
        <f t="shared" si="16"/>
        <v>0.69314718055994529</v>
      </c>
      <c r="AR64" s="22">
        <f t="shared" si="17"/>
        <v>0</v>
      </c>
      <c r="AS64" s="22">
        <f t="shared" si="18"/>
        <v>1.9459101490553132</v>
      </c>
    </row>
    <row r="65" spans="1:45" x14ac:dyDescent="0.25">
      <c r="A65" s="1" t="s">
        <v>10</v>
      </c>
      <c r="B65" s="2">
        <v>40366</v>
      </c>
      <c r="C65">
        <v>188</v>
      </c>
      <c r="D65" s="1">
        <v>2010</v>
      </c>
      <c r="E65">
        <v>2003</v>
      </c>
      <c r="F65">
        <v>57850</v>
      </c>
      <c r="G65" s="44">
        <f t="shared" si="7"/>
        <v>1</v>
      </c>
      <c r="H65" s="13">
        <v>42.49283333333333</v>
      </c>
      <c r="I65" s="6">
        <v>-81.443666666666672</v>
      </c>
      <c r="J65">
        <v>42.566916666666664</v>
      </c>
      <c r="K65">
        <v>-81.47208333333333</v>
      </c>
      <c r="L65">
        <v>41.819366666666667</v>
      </c>
      <c r="M65">
        <v>-81.155166666666673</v>
      </c>
      <c r="N65" s="22">
        <f t="shared" si="19"/>
        <v>7.9346374978456605E-2</v>
      </c>
      <c r="O65" s="22">
        <f t="shared" si="20"/>
        <v>0.73265926672028459</v>
      </c>
      <c r="P65" s="22">
        <f t="shared" si="8"/>
        <v>7.9346374978456605E-2</v>
      </c>
      <c r="Q65" s="10"/>
      <c r="R65">
        <v>10.6</v>
      </c>
      <c r="S65">
        <v>19.899999999999999</v>
      </c>
      <c r="T65" s="21">
        <v>9</v>
      </c>
      <c r="U65" s="47">
        <v>0</v>
      </c>
      <c r="V65" s="33">
        <v>2409</v>
      </c>
      <c r="W65" s="31">
        <v>20</v>
      </c>
      <c r="X65" s="32">
        <v>0.95</v>
      </c>
      <c r="Y65">
        <v>224</v>
      </c>
      <c r="Z65" s="28">
        <f t="shared" si="9"/>
        <v>0</v>
      </c>
      <c r="AA65" s="28">
        <f t="shared" si="10"/>
        <v>1.05</v>
      </c>
      <c r="AB65" s="28">
        <f t="shared" si="11"/>
        <v>9.85</v>
      </c>
      <c r="AC65" s="28">
        <f t="shared" si="12"/>
        <v>0.2</v>
      </c>
      <c r="AD65" s="28">
        <f t="shared" si="13"/>
        <v>0</v>
      </c>
      <c r="AE65">
        <f t="shared" si="21"/>
        <v>0</v>
      </c>
      <c r="AF65">
        <f t="shared" si="22"/>
        <v>9.375E-2</v>
      </c>
      <c r="AG65">
        <f t="shared" si="23"/>
        <v>0.8794642857142857</v>
      </c>
      <c r="AH65">
        <f t="shared" si="24"/>
        <v>1.7857142857142856E-2</v>
      </c>
      <c r="AI65">
        <f t="shared" si="25"/>
        <v>0</v>
      </c>
      <c r="AJ65">
        <v>0</v>
      </c>
      <c r="AK65">
        <v>21</v>
      </c>
      <c r="AL65">
        <v>197</v>
      </c>
      <c r="AM65">
        <v>4</v>
      </c>
      <c r="AN65">
        <v>0</v>
      </c>
      <c r="AO65" s="22">
        <f t="shared" si="14"/>
        <v>0</v>
      </c>
      <c r="AP65" s="22">
        <f t="shared" si="15"/>
        <v>3.0910424533583161</v>
      </c>
      <c r="AQ65" s="22">
        <f t="shared" si="16"/>
        <v>5.2882670306945352</v>
      </c>
      <c r="AR65" s="22">
        <f t="shared" si="17"/>
        <v>1.6094379124341003</v>
      </c>
      <c r="AS65" s="22">
        <f t="shared" si="18"/>
        <v>0</v>
      </c>
    </row>
    <row r="66" spans="1:45" x14ac:dyDescent="0.25">
      <c r="A66" s="1" t="s">
        <v>10</v>
      </c>
      <c r="B66" s="2">
        <v>40366</v>
      </c>
      <c r="C66">
        <v>188</v>
      </c>
      <c r="D66" s="1">
        <v>2010</v>
      </c>
      <c r="E66">
        <v>2004</v>
      </c>
      <c r="F66">
        <v>57850</v>
      </c>
      <c r="G66" s="44">
        <f t="shared" si="7"/>
        <v>1</v>
      </c>
      <c r="H66" s="13">
        <v>42.479333333333336</v>
      </c>
      <c r="I66" s="6">
        <v>-81.4375</v>
      </c>
      <c r="J66">
        <v>42.566916666666664</v>
      </c>
      <c r="K66">
        <v>-81.47208333333333</v>
      </c>
      <c r="L66">
        <v>41.819366666666667</v>
      </c>
      <c r="M66">
        <v>-81.155166666666673</v>
      </c>
      <c r="N66" s="22">
        <f t="shared" si="19"/>
        <v>9.4163938013556991E-2</v>
      </c>
      <c r="O66" s="22">
        <f t="shared" si="20"/>
        <v>0.71782178305079447</v>
      </c>
      <c r="P66" s="22">
        <f t="shared" si="8"/>
        <v>9.4163938013556991E-2</v>
      </c>
      <c r="Q66" s="10"/>
      <c r="R66">
        <v>16.100000000000001</v>
      </c>
      <c r="S66">
        <v>20</v>
      </c>
      <c r="T66" s="21">
        <v>6</v>
      </c>
      <c r="U66" s="47">
        <v>0</v>
      </c>
      <c r="V66" s="33">
        <v>2450</v>
      </c>
      <c r="W66" s="31">
        <v>20</v>
      </c>
      <c r="X66" s="32">
        <v>0.93</v>
      </c>
      <c r="Y66">
        <v>155</v>
      </c>
      <c r="Z66" s="28">
        <f t="shared" si="9"/>
        <v>0</v>
      </c>
      <c r="AA66" s="28">
        <f t="shared" si="10"/>
        <v>6.8</v>
      </c>
      <c r="AB66" s="28">
        <f t="shared" si="11"/>
        <v>0.45</v>
      </c>
      <c r="AC66" s="28">
        <f t="shared" si="12"/>
        <v>0.4</v>
      </c>
      <c r="AD66" s="28">
        <f t="shared" si="13"/>
        <v>0</v>
      </c>
      <c r="AE66">
        <f t="shared" si="21"/>
        <v>0</v>
      </c>
      <c r="AF66">
        <f t="shared" si="22"/>
        <v>0.8774193548387097</v>
      </c>
      <c r="AG66">
        <f t="shared" si="23"/>
        <v>5.8064516129032261E-2</v>
      </c>
      <c r="AH66">
        <f t="shared" si="24"/>
        <v>5.1612903225806452E-2</v>
      </c>
      <c r="AI66">
        <f t="shared" si="25"/>
        <v>0</v>
      </c>
      <c r="AJ66">
        <v>0</v>
      </c>
      <c r="AK66">
        <v>136</v>
      </c>
      <c r="AL66">
        <v>9</v>
      </c>
      <c r="AM66">
        <v>8</v>
      </c>
      <c r="AN66">
        <v>0</v>
      </c>
      <c r="AO66" s="22">
        <f t="shared" si="14"/>
        <v>0</v>
      </c>
      <c r="AP66" s="22">
        <f t="shared" si="15"/>
        <v>4.9199809258281251</v>
      </c>
      <c r="AQ66" s="22">
        <f t="shared" si="16"/>
        <v>2.3025850929940459</v>
      </c>
      <c r="AR66" s="22">
        <f t="shared" si="17"/>
        <v>2.1972245773362196</v>
      </c>
      <c r="AS66" s="22">
        <f t="shared" si="18"/>
        <v>0</v>
      </c>
    </row>
    <row r="67" spans="1:45" x14ac:dyDescent="0.25">
      <c r="A67" s="1" t="s">
        <v>10</v>
      </c>
      <c r="B67" s="2">
        <v>40366</v>
      </c>
      <c r="C67">
        <v>188</v>
      </c>
      <c r="D67" s="1">
        <v>2010</v>
      </c>
      <c r="E67">
        <v>2005</v>
      </c>
      <c r="F67">
        <v>57850</v>
      </c>
      <c r="G67" s="44">
        <f t="shared" si="7"/>
        <v>1</v>
      </c>
      <c r="H67" s="13">
        <v>42.491500000000002</v>
      </c>
      <c r="I67" s="6">
        <v>-81.444666666666663</v>
      </c>
      <c r="J67">
        <v>42.566916666666664</v>
      </c>
      <c r="K67">
        <v>-81.47208333333333</v>
      </c>
      <c r="L67">
        <v>41.819366666666667</v>
      </c>
      <c r="M67">
        <v>-81.155166666666673</v>
      </c>
      <c r="N67" s="22">
        <f t="shared" si="19"/>
        <v>8.0245543316881829E-2</v>
      </c>
      <c r="O67" s="22">
        <f t="shared" si="20"/>
        <v>0.73182885142482179</v>
      </c>
      <c r="P67" s="22">
        <f t="shared" si="8"/>
        <v>8.0245543316881829E-2</v>
      </c>
      <c r="Q67" s="10"/>
      <c r="R67">
        <v>10.4</v>
      </c>
      <c r="S67">
        <v>18.899999999999999</v>
      </c>
      <c r="T67" s="21">
        <v>14</v>
      </c>
      <c r="U67" s="21">
        <v>0</v>
      </c>
      <c r="V67" s="33">
        <v>2530</v>
      </c>
      <c r="W67" s="31">
        <v>20</v>
      </c>
      <c r="X67" s="32">
        <v>0.96</v>
      </c>
      <c r="Y67">
        <v>1487</v>
      </c>
      <c r="Z67" s="28">
        <f t="shared" si="9"/>
        <v>0</v>
      </c>
      <c r="AA67" s="28">
        <f t="shared" si="10"/>
        <v>0.45</v>
      </c>
      <c r="AB67" s="28">
        <f t="shared" si="11"/>
        <v>73.8</v>
      </c>
      <c r="AC67" s="28">
        <f t="shared" si="12"/>
        <v>0</v>
      </c>
      <c r="AD67" s="28">
        <f t="shared" si="13"/>
        <v>0</v>
      </c>
      <c r="AE67">
        <f t="shared" si="21"/>
        <v>0</v>
      </c>
      <c r="AF67">
        <f t="shared" si="22"/>
        <v>6.0524546065904503E-3</v>
      </c>
      <c r="AG67">
        <f t="shared" si="23"/>
        <v>0.99260255548083387</v>
      </c>
      <c r="AH67">
        <f t="shared" si="24"/>
        <v>0</v>
      </c>
      <c r="AI67">
        <f t="shared" si="25"/>
        <v>0</v>
      </c>
      <c r="AJ67">
        <v>0</v>
      </c>
      <c r="AK67">
        <v>9</v>
      </c>
      <c r="AL67">
        <v>1476</v>
      </c>
      <c r="AM67">
        <v>0</v>
      </c>
      <c r="AN67">
        <v>0</v>
      </c>
      <c r="AO67" s="22">
        <f t="shared" si="14"/>
        <v>0</v>
      </c>
      <c r="AP67" s="22">
        <f t="shared" si="15"/>
        <v>2.3025850929940459</v>
      </c>
      <c r="AQ67" s="22">
        <f t="shared" si="16"/>
        <v>7.2977682825313801</v>
      </c>
      <c r="AR67" s="22">
        <f t="shared" si="17"/>
        <v>0</v>
      </c>
      <c r="AS67" s="22">
        <f t="shared" si="18"/>
        <v>0</v>
      </c>
    </row>
    <row r="68" spans="1:45" x14ac:dyDescent="0.25">
      <c r="A68" s="1" t="s">
        <v>10</v>
      </c>
      <c r="B68" s="2">
        <v>40366</v>
      </c>
      <c r="C68">
        <v>188</v>
      </c>
      <c r="D68" s="1">
        <v>2010</v>
      </c>
      <c r="E68">
        <v>2006</v>
      </c>
      <c r="F68">
        <v>57850</v>
      </c>
      <c r="G68" s="44">
        <f t="shared" si="7"/>
        <v>1</v>
      </c>
      <c r="H68" s="13">
        <v>42.342333333333336</v>
      </c>
      <c r="I68" s="6">
        <v>-81.373999999999995</v>
      </c>
      <c r="J68">
        <v>42.566916666666664</v>
      </c>
      <c r="K68">
        <v>-81.47208333333333</v>
      </c>
      <c r="L68">
        <v>41.819366666666667</v>
      </c>
      <c r="M68">
        <v>-81.155166666666673</v>
      </c>
      <c r="N68" s="22">
        <f t="shared" si="19"/>
        <v>0.24506736602184886</v>
      </c>
      <c r="O68" s="22">
        <f t="shared" si="20"/>
        <v>0.56690577896350602</v>
      </c>
      <c r="P68" s="22">
        <f t="shared" si="8"/>
        <v>0.24506736602184886</v>
      </c>
      <c r="Q68" s="10"/>
      <c r="R68">
        <v>11.5</v>
      </c>
      <c r="S68">
        <v>22.3</v>
      </c>
      <c r="T68" s="21">
        <v>17</v>
      </c>
      <c r="U68" s="21">
        <v>1</v>
      </c>
      <c r="V68" s="33">
        <v>2710</v>
      </c>
      <c r="W68" s="31">
        <v>20</v>
      </c>
      <c r="X68" s="32">
        <v>0.97</v>
      </c>
      <c r="Y68">
        <v>58</v>
      </c>
      <c r="Z68" s="28">
        <f t="shared" si="9"/>
        <v>0</v>
      </c>
      <c r="AA68" s="28">
        <f t="shared" si="10"/>
        <v>1.05</v>
      </c>
      <c r="AB68" s="28">
        <f t="shared" si="11"/>
        <v>0.55000000000000004</v>
      </c>
      <c r="AC68" s="28">
        <f t="shared" si="12"/>
        <v>0.3</v>
      </c>
      <c r="AD68" s="28">
        <f t="shared" si="13"/>
        <v>0</v>
      </c>
      <c r="AE68">
        <f t="shared" si="21"/>
        <v>0</v>
      </c>
      <c r="AF68">
        <f t="shared" si="22"/>
        <v>0.36206896551724138</v>
      </c>
      <c r="AG68">
        <f t="shared" si="23"/>
        <v>0.18965517241379309</v>
      </c>
      <c r="AH68">
        <f t="shared" si="24"/>
        <v>0.10344827586206896</v>
      </c>
      <c r="AI68">
        <f t="shared" si="25"/>
        <v>0</v>
      </c>
      <c r="AJ68">
        <v>0</v>
      </c>
      <c r="AK68">
        <v>21</v>
      </c>
      <c r="AL68">
        <v>11</v>
      </c>
      <c r="AM68">
        <v>6</v>
      </c>
      <c r="AN68">
        <v>0</v>
      </c>
      <c r="AO68" s="22">
        <f t="shared" si="14"/>
        <v>0</v>
      </c>
      <c r="AP68" s="22">
        <f t="shared" si="15"/>
        <v>3.0910424533583161</v>
      </c>
      <c r="AQ68" s="22">
        <f t="shared" si="16"/>
        <v>2.4849066497880004</v>
      </c>
      <c r="AR68" s="22">
        <f t="shared" si="17"/>
        <v>1.9459101490553132</v>
      </c>
      <c r="AS68" s="22">
        <f t="shared" si="18"/>
        <v>0</v>
      </c>
    </row>
    <row r="69" spans="1:45" x14ac:dyDescent="0.25">
      <c r="A69" s="1" t="s">
        <v>10</v>
      </c>
      <c r="B69" s="2">
        <v>40366</v>
      </c>
      <c r="C69">
        <v>188</v>
      </c>
      <c r="D69" s="1">
        <v>2010</v>
      </c>
      <c r="E69">
        <v>2007</v>
      </c>
      <c r="F69">
        <v>57850</v>
      </c>
      <c r="G69" s="44">
        <f t="shared" si="7"/>
        <v>1</v>
      </c>
      <c r="H69" s="13">
        <v>42.318333333333335</v>
      </c>
      <c r="I69" s="6">
        <v>-81.36</v>
      </c>
      <c r="J69">
        <v>42.566916666666664</v>
      </c>
      <c r="K69">
        <v>-81.47208333333333</v>
      </c>
      <c r="L69">
        <v>41.819366666666667</v>
      </c>
      <c r="M69">
        <v>-81.155166666666673</v>
      </c>
      <c r="N69" s="22">
        <f t="shared" si="19"/>
        <v>0.27268360277475334</v>
      </c>
      <c r="O69" s="22">
        <f t="shared" si="20"/>
        <v>0.53937410847100098</v>
      </c>
      <c r="P69" s="22">
        <f t="shared" si="8"/>
        <v>0.27268360277475334</v>
      </c>
      <c r="Q69" s="10"/>
      <c r="R69">
        <v>20.6</v>
      </c>
      <c r="S69">
        <v>22.6</v>
      </c>
      <c r="T69" s="21">
        <v>14</v>
      </c>
      <c r="U69" s="21">
        <v>0</v>
      </c>
      <c r="V69" s="33">
        <v>2756</v>
      </c>
      <c r="W69" s="31">
        <v>20</v>
      </c>
      <c r="X69" s="32">
        <v>0.95</v>
      </c>
      <c r="Y69">
        <v>38</v>
      </c>
      <c r="Z69" s="28">
        <f t="shared" si="9"/>
        <v>0</v>
      </c>
      <c r="AA69" s="28">
        <f t="shared" si="10"/>
        <v>1.4</v>
      </c>
      <c r="AB69" s="28">
        <f t="shared" si="11"/>
        <v>0.05</v>
      </c>
      <c r="AC69" s="28">
        <f t="shared" si="12"/>
        <v>0.35</v>
      </c>
      <c r="AD69" s="28">
        <f t="shared" si="13"/>
        <v>0.1</v>
      </c>
      <c r="AE69">
        <f t="shared" si="21"/>
        <v>0</v>
      </c>
      <c r="AF69">
        <f t="shared" si="22"/>
        <v>0.73684210526315785</v>
      </c>
      <c r="AG69">
        <f t="shared" si="23"/>
        <v>2.6315789473684209E-2</v>
      </c>
      <c r="AH69">
        <f t="shared" si="24"/>
        <v>0.18421052631578946</v>
      </c>
      <c r="AI69">
        <f t="shared" si="25"/>
        <v>5.2631578947368418E-2</v>
      </c>
      <c r="AJ69">
        <v>0</v>
      </c>
      <c r="AK69">
        <v>28</v>
      </c>
      <c r="AL69">
        <v>1</v>
      </c>
      <c r="AM69">
        <v>7</v>
      </c>
      <c r="AN69">
        <v>2</v>
      </c>
      <c r="AO69" s="22">
        <f t="shared" si="14"/>
        <v>0</v>
      </c>
      <c r="AP69" s="22">
        <f t="shared" si="15"/>
        <v>3.3672958299864741</v>
      </c>
      <c r="AQ69" s="22">
        <f t="shared" si="16"/>
        <v>0.69314718055994529</v>
      </c>
      <c r="AR69" s="22">
        <f t="shared" si="17"/>
        <v>2.0794415416798357</v>
      </c>
      <c r="AS69" s="22">
        <f t="shared" si="18"/>
        <v>1.0986122886681098</v>
      </c>
    </row>
    <row r="70" spans="1:45" x14ac:dyDescent="0.25">
      <c r="A70" s="1" t="s">
        <v>10</v>
      </c>
      <c r="B70" s="2">
        <v>40366</v>
      </c>
      <c r="C70">
        <v>188</v>
      </c>
      <c r="D70" s="1">
        <v>2010</v>
      </c>
      <c r="E70">
        <v>2008</v>
      </c>
      <c r="F70">
        <v>57850</v>
      </c>
      <c r="G70" s="44">
        <f t="shared" si="7"/>
        <v>1</v>
      </c>
      <c r="H70" s="13">
        <v>42.308</v>
      </c>
      <c r="I70" s="6">
        <v>-81.354666666666674</v>
      </c>
      <c r="J70">
        <v>42.566916666666664</v>
      </c>
      <c r="K70">
        <v>-81.47208333333333</v>
      </c>
      <c r="L70">
        <v>41.819366666666667</v>
      </c>
      <c r="M70">
        <v>-81.155166666666673</v>
      </c>
      <c r="N70" s="22">
        <f t="shared" si="19"/>
        <v>0.28429652458108817</v>
      </c>
      <c r="O70" s="22">
        <f t="shared" si="20"/>
        <v>0.5277904739993361</v>
      </c>
      <c r="P70" s="22">
        <f t="shared" si="8"/>
        <v>0.28429652458108817</v>
      </c>
      <c r="Q70" s="10"/>
      <c r="R70">
        <v>10.8</v>
      </c>
      <c r="S70">
        <v>22.5</v>
      </c>
      <c r="T70" s="21">
        <v>20</v>
      </c>
      <c r="U70" s="47">
        <v>1</v>
      </c>
      <c r="V70" s="33">
        <v>2839</v>
      </c>
      <c r="W70" s="31">
        <v>20</v>
      </c>
      <c r="X70" s="32">
        <v>0.97</v>
      </c>
      <c r="Y70">
        <v>1099</v>
      </c>
      <c r="Z70" s="28">
        <f t="shared" si="9"/>
        <v>0</v>
      </c>
      <c r="AA70" s="28">
        <f t="shared" si="10"/>
        <v>0.2</v>
      </c>
      <c r="AB70" s="28">
        <f t="shared" si="11"/>
        <v>54.15</v>
      </c>
      <c r="AC70" s="28">
        <f t="shared" si="12"/>
        <v>0.2</v>
      </c>
      <c r="AD70" s="28">
        <f t="shared" si="13"/>
        <v>0</v>
      </c>
      <c r="AE70">
        <f t="shared" si="21"/>
        <v>0</v>
      </c>
      <c r="AF70">
        <f t="shared" si="22"/>
        <v>3.6396724294813468E-3</v>
      </c>
      <c r="AG70">
        <f t="shared" si="23"/>
        <v>0.9854413102820746</v>
      </c>
      <c r="AH70">
        <f t="shared" si="24"/>
        <v>3.6396724294813468E-3</v>
      </c>
      <c r="AI70">
        <f t="shared" si="25"/>
        <v>0</v>
      </c>
      <c r="AJ70">
        <v>0</v>
      </c>
      <c r="AK70">
        <v>4</v>
      </c>
      <c r="AL70">
        <v>1083</v>
      </c>
      <c r="AM70">
        <v>4</v>
      </c>
      <c r="AN70">
        <v>0</v>
      </c>
      <c r="AO70" s="22">
        <f t="shared" si="14"/>
        <v>0</v>
      </c>
      <c r="AP70" s="22">
        <f t="shared" si="15"/>
        <v>1.6094379124341003</v>
      </c>
      <c r="AQ70" s="22">
        <f t="shared" si="16"/>
        <v>6.9884131819995918</v>
      </c>
      <c r="AR70" s="22">
        <f t="shared" si="17"/>
        <v>1.6094379124341003</v>
      </c>
      <c r="AS70" s="22">
        <f t="shared" si="18"/>
        <v>0</v>
      </c>
    </row>
    <row r="71" spans="1:45" x14ac:dyDescent="0.25">
      <c r="A71" s="1" t="s">
        <v>10</v>
      </c>
      <c r="B71" s="2">
        <v>40366</v>
      </c>
      <c r="C71">
        <v>188</v>
      </c>
      <c r="D71" s="1">
        <v>2010</v>
      </c>
      <c r="E71">
        <v>3001</v>
      </c>
      <c r="F71">
        <v>57600</v>
      </c>
      <c r="G71" s="44">
        <f t="shared" si="7"/>
        <v>0</v>
      </c>
      <c r="H71" s="13">
        <v>42.078833333333336</v>
      </c>
      <c r="I71" s="6">
        <v>-81.74933333333334</v>
      </c>
      <c r="J71">
        <v>42.261233333333337</v>
      </c>
      <c r="K71">
        <v>-81.829883333333328</v>
      </c>
      <c r="L71">
        <v>41.621000000000002</v>
      </c>
      <c r="M71">
        <v>-81.539483333333337</v>
      </c>
      <c r="N71" s="22">
        <f t="shared" si="19"/>
        <v>0.19939423888367119</v>
      </c>
      <c r="O71" s="22">
        <f t="shared" si="20"/>
        <v>0.50363516915631734</v>
      </c>
      <c r="P71" s="22">
        <f t="shared" si="8"/>
        <v>0.19939423888367119</v>
      </c>
      <c r="Q71" s="10"/>
      <c r="R71">
        <v>9.9600000000000009</v>
      </c>
      <c r="S71">
        <v>24.2</v>
      </c>
      <c r="T71" s="21">
        <v>18</v>
      </c>
      <c r="U71" s="47">
        <v>1</v>
      </c>
      <c r="V71" s="33">
        <v>2125</v>
      </c>
      <c r="W71" s="31">
        <v>20</v>
      </c>
      <c r="X71" s="32">
        <v>0.93</v>
      </c>
      <c r="Y71">
        <v>1755</v>
      </c>
      <c r="Z71" s="28">
        <f t="shared" si="9"/>
        <v>0</v>
      </c>
      <c r="AA71" s="28">
        <f t="shared" si="10"/>
        <v>0</v>
      </c>
      <c r="AB71" s="28">
        <f t="shared" si="11"/>
        <v>85.65</v>
      </c>
      <c r="AC71" s="28">
        <f t="shared" si="12"/>
        <v>1.95</v>
      </c>
      <c r="AD71" s="28">
        <f t="shared" si="13"/>
        <v>0.05</v>
      </c>
      <c r="AE71">
        <f t="shared" si="21"/>
        <v>0</v>
      </c>
      <c r="AF71">
        <f t="shared" si="22"/>
        <v>0</v>
      </c>
      <c r="AG71">
        <f t="shared" si="23"/>
        <v>0.97606837606837604</v>
      </c>
      <c r="AH71">
        <f t="shared" si="24"/>
        <v>2.2222222222222223E-2</v>
      </c>
      <c r="AI71">
        <f t="shared" si="25"/>
        <v>5.6980056980056976E-4</v>
      </c>
      <c r="AJ71">
        <v>0</v>
      </c>
      <c r="AK71">
        <v>0</v>
      </c>
      <c r="AL71">
        <v>1713</v>
      </c>
      <c r="AM71">
        <v>39</v>
      </c>
      <c r="AN71">
        <v>1</v>
      </c>
      <c r="AO71" s="22">
        <f t="shared" si="14"/>
        <v>0</v>
      </c>
      <c r="AP71" s="22">
        <f t="shared" si="15"/>
        <v>0</v>
      </c>
      <c r="AQ71" s="22">
        <f t="shared" si="16"/>
        <v>7.4465850991577254</v>
      </c>
      <c r="AR71" s="22">
        <f t="shared" si="17"/>
        <v>3.6888794541139363</v>
      </c>
      <c r="AS71" s="22">
        <f t="shared" si="18"/>
        <v>0.69314718055994529</v>
      </c>
    </row>
    <row r="72" spans="1:45" x14ac:dyDescent="0.25">
      <c r="A72" s="1" t="s">
        <v>10</v>
      </c>
      <c r="B72" s="2">
        <v>40367</v>
      </c>
      <c r="C72">
        <v>189</v>
      </c>
      <c r="D72" s="1">
        <v>2010</v>
      </c>
      <c r="E72">
        <v>3002</v>
      </c>
      <c r="F72">
        <v>57600</v>
      </c>
      <c r="G72" s="44">
        <f t="shared" si="7"/>
        <v>0</v>
      </c>
      <c r="H72" s="13">
        <v>42.062000000000005</v>
      </c>
      <c r="I72" s="6">
        <v>-81.74666666666667</v>
      </c>
      <c r="J72">
        <v>42.261233333333337</v>
      </c>
      <c r="K72">
        <v>-81.829883333333328</v>
      </c>
      <c r="L72">
        <v>41.621000000000002</v>
      </c>
      <c r="M72">
        <v>-81.539483333333337</v>
      </c>
      <c r="N72" s="22">
        <f t="shared" si="19"/>
        <v>0.21591418369857102</v>
      </c>
      <c r="O72" s="22">
        <f t="shared" si="20"/>
        <v>0.48724319760373586</v>
      </c>
      <c r="P72" s="22">
        <f t="shared" si="8"/>
        <v>0.21591418369857102</v>
      </c>
      <c r="Q72" s="10"/>
      <c r="R72">
        <v>10.799999999999999</v>
      </c>
      <c r="S72">
        <v>24.2</v>
      </c>
      <c r="T72" s="21">
        <v>15</v>
      </c>
      <c r="U72" s="21">
        <v>0</v>
      </c>
      <c r="V72" s="33">
        <v>2214</v>
      </c>
      <c r="W72" s="31">
        <v>20</v>
      </c>
      <c r="X72" s="32">
        <v>0.94</v>
      </c>
      <c r="Y72">
        <v>110</v>
      </c>
      <c r="Z72" s="28">
        <f t="shared" si="9"/>
        <v>0</v>
      </c>
      <c r="AA72" s="28">
        <f t="shared" si="10"/>
        <v>4.5999999999999996</v>
      </c>
      <c r="AB72" s="28">
        <f t="shared" si="11"/>
        <v>0.05</v>
      </c>
      <c r="AC72" s="28">
        <f t="shared" si="12"/>
        <v>0.55000000000000004</v>
      </c>
      <c r="AD72" s="28">
        <f t="shared" si="13"/>
        <v>0.15</v>
      </c>
      <c r="AE72">
        <f t="shared" si="21"/>
        <v>0</v>
      </c>
      <c r="AF72">
        <f t="shared" si="22"/>
        <v>0.83636363636363631</v>
      </c>
      <c r="AG72">
        <f t="shared" si="23"/>
        <v>9.0909090909090905E-3</v>
      </c>
      <c r="AH72">
        <f t="shared" si="24"/>
        <v>0.1</v>
      </c>
      <c r="AI72">
        <f t="shared" si="25"/>
        <v>2.7272727272727271E-2</v>
      </c>
      <c r="AJ72">
        <v>0</v>
      </c>
      <c r="AK72">
        <v>92</v>
      </c>
      <c r="AL72">
        <v>1</v>
      </c>
      <c r="AM72">
        <v>11</v>
      </c>
      <c r="AN72">
        <v>3</v>
      </c>
      <c r="AO72" s="22">
        <f t="shared" si="14"/>
        <v>0</v>
      </c>
      <c r="AP72" s="22">
        <f t="shared" si="15"/>
        <v>4.5325994931532563</v>
      </c>
      <c r="AQ72" s="22">
        <f t="shared" si="16"/>
        <v>0.69314718055994529</v>
      </c>
      <c r="AR72" s="22">
        <f t="shared" si="17"/>
        <v>2.4849066497880004</v>
      </c>
      <c r="AS72" s="22">
        <f t="shared" si="18"/>
        <v>1.3862943611198906</v>
      </c>
    </row>
    <row r="73" spans="1:45" x14ac:dyDescent="0.25">
      <c r="A73" s="1" t="s">
        <v>10</v>
      </c>
      <c r="B73" s="2">
        <v>40367</v>
      </c>
      <c r="C73">
        <v>189</v>
      </c>
      <c r="D73" s="1">
        <v>2010</v>
      </c>
      <c r="E73">
        <v>3003</v>
      </c>
      <c r="F73">
        <v>57600</v>
      </c>
      <c r="G73" s="44">
        <f t="shared" si="7"/>
        <v>0</v>
      </c>
      <c r="H73" s="13">
        <v>42.053166666666669</v>
      </c>
      <c r="I73" s="6">
        <v>-81.740833333333327</v>
      </c>
      <c r="J73">
        <v>42.261233333333337</v>
      </c>
      <c r="K73">
        <v>-81.829883333333328</v>
      </c>
      <c r="L73">
        <v>41.621000000000002</v>
      </c>
      <c r="M73">
        <v>-81.539483333333337</v>
      </c>
      <c r="N73" s="22">
        <f t="shared" si="19"/>
        <v>0.22632198363786513</v>
      </c>
      <c r="O73" s="22">
        <f t="shared" si="20"/>
        <v>0.47677022796917029</v>
      </c>
      <c r="P73" s="22">
        <f t="shared" si="8"/>
        <v>0.22632198363786513</v>
      </c>
      <c r="Q73" s="10"/>
      <c r="R73">
        <v>21.6</v>
      </c>
      <c r="S73">
        <v>24.4</v>
      </c>
      <c r="T73" s="21">
        <v>12</v>
      </c>
      <c r="U73" s="21">
        <v>0</v>
      </c>
      <c r="V73" s="33">
        <v>2304</v>
      </c>
      <c r="W73" s="31">
        <v>20</v>
      </c>
      <c r="X73" s="32">
        <v>0.93</v>
      </c>
      <c r="Y73">
        <v>60</v>
      </c>
      <c r="Z73" s="28">
        <f t="shared" si="9"/>
        <v>0</v>
      </c>
      <c r="AA73" s="28">
        <f t="shared" si="10"/>
        <v>0.75</v>
      </c>
      <c r="AB73" s="28">
        <f t="shared" si="11"/>
        <v>0</v>
      </c>
      <c r="AC73" s="28">
        <f t="shared" si="12"/>
        <v>2.0499999999999998</v>
      </c>
      <c r="AD73" s="28">
        <f t="shared" si="13"/>
        <v>0.15</v>
      </c>
      <c r="AE73">
        <f t="shared" si="21"/>
        <v>0</v>
      </c>
      <c r="AF73">
        <f t="shared" si="22"/>
        <v>0.25</v>
      </c>
      <c r="AG73">
        <f t="shared" si="23"/>
        <v>0</v>
      </c>
      <c r="AH73">
        <f t="shared" si="24"/>
        <v>0.68333333333333335</v>
      </c>
      <c r="AI73">
        <f t="shared" si="25"/>
        <v>0.05</v>
      </c>
      <c r="AJ73">
        <v>0</v>
      </c>
      <c r="AK73">
        <v>15</v>
      </c>
      <c r="AL73">
        <v>0</v>
      </c>
      <c r="AM73">
        <v>41</v>
      </c>
      <c r="AN73">
        <v>3</v>
      </c>
      <c r="AO73" s="22">
        <f t="shared" si="14"/>
        <v>0</v>
      </c>
      <c r="AP73" s="22">
        <f t="shared" si="15"/>
        <v>2.7725887222397811</v>
      </c>
      <c r="AQ73" s="22">
        <f t="shared" si="16"/>
        <v>0</v>
      </c>
      <c r="AR73" s="22">
        <f t="shared" si="17"/>
        <v>3.7376696182833684</v>
      </c>
      <c r="AS73" s="22">
        <f t="shared" si="18"/>
        <v>1.3862943611198906</v>
      </c>
    </row>
    <row r="74" spans="1:45" x14ac:dyDescent="0.25">
      <c r="A74" s="1" t="s">
        <v>10</v>
      </c>
      <c r="B74" s="2">
        <v>40367</v>
      </c>
      <c r="C74">
        <v>189</v>
      </c>
      <c r="D74" s="1">
        <v>2010</v>
      </c>
      <c r="E74">
        <v>3004</v>
      </c>
      <c r="F74">
        <v>57600</v>
      </c>
      <c r="G74" s="44">
        <f t="shared" si="7"/>
        <v>0</v>
      </c>
      <c r="H74" s="13">
        <v>42.05766666666667</v>
      </c>
      <c r="I74" s="6">
        <v>-81.737833333333327</v>
      </c>
      <c r="J74">
        <v>42.261233333333337</v>
      </c>
      <c r="K74">
        <v>-81.829883333333328</v>
      </c>
      <c r="L74">
        <v>41.621000000000002</v>
      </c>
      <c r="M74">
        <v>-81.539483333333337</v>
      </c>
      <c r="N74" s="22">
        <f t="shared" si="19"/>
        <v>0.22341125817151211</v>
      </c>
      <c r="O74" s="22">
        <f t="shared" si="20"/>
        <v>0.47960452487208122</v>
      </c>
      <c r="P74" s="22">
        <f t="shared" si="8"/>
        <v>0.22341125817151211</v>
      </c>
      <c r="Q74" s="10"/>
      <c r="R74">
        <v>24.2</v>
      </c>
      <c r="S74">
        <v>24.4</v>
      </c>
      <c r="T74" s="21">
        <v>7</v>
      </c>
      <c r="U74" s="47">
        <v>0</v>
      </c>
      <c r="V74" s="33">
        <v>2401</v>
      </c>
      <c r="W74" s="31">
        <v>20</v>
      </c>
      <c r="X74" s="32">
        <v>0.91</v>
      </c>
      <c r="Y74">
        <v>78</v>
      </c>
      <c r="Z74" s="28">
        <f t="shared" si="9"/>
        <v>0</v>
      </c>
      <c r="AA74" s="28">
        <f t="shared" si="10"/>
        <v>0.2</v>
      </c>
      <c r="AB74" s="28">
        <f t="shared" si="11"/>
        <v>0.05</v>
      </c>
      <c r="AC74" s="28">
        <f t="shared" si="12"/>
        <v>3.6</v>
      </c>
      <c r="AD74" s="28">
        <f t="shared" si="13"/>
        <v>0</v>
      </c>
      <c r="AE74">
        <f t="shared" si="21"/>
        <v>0</v>
      </c>
      <c r="AF74">
        <f t="shared" si="22"/>
        <v>5.128205128205128E-2</v>
      </c>
      <c r="AG74">
        <f t="shared" si="23"/>
        <v>1.282051282051282E-2</v>
      </c>
      <c r="AH74">
        <f t="shared" si="24"/>
        <v>0.92307692307692313</v>
      </c>
      <c r="AI74">
        <f t="shared" si="25"/>
        <v>0</v>
      </c>
      <c r="AJ74">
        <v>0</v>
      </c>
      <c r="AK74">
        <v>4</v>
      </c>
      <c r="AL74">
        <v>1</v>
      </c>
      <c r="AM74">
        <v>72</v>
      </c>
      <c r="AN74">
        <v>0</v>
      </c>
      <c r="AO74" s="22">
        <f t="shared" si="14"/>
        <v>0</v>
      </c>
      <c r="AP74" s="22">
        <f t="shared" si="15"/>
        <v>1.6094379124341003</v>
      </c>
      <c r="AQ74" s="22">
        <f t="shared" si="16"/>
        <v>0.69314718055994529</v>
      </c>
      <c r="AR74" s="22">
        <f t="shared" si="17"/>
        <v>4.290459441148391</v>
      </c>
      <c r="AS74" s="22">
        <f t="shared" si="18"/>
        <v>0</v>
      </c>
    </row>
    <row r="75" spans="1:45" x14ac:dyDescent="0.25">
      <c r="A75" s="1" t="s">
        <v>10</v>
      </c>
      <c r="B75" s="2">
        <v>40367</v>
      </c>
      <c r="C75">
        <v>189</v>
      </c>
      <c r="D75" s="1">
        <v>2010</v>
      </c>
      <c r="E75">
        <v>3005</v>
      </c>
      <c r="F75">
        <v>57600</v>
      </c>
      <c r="G75" s="44">
        <f t="shared" si="7"/>
        <v>0</v>
      </c>
      <c r="H75" s="13">
        <v>42.223999999999997</v>
      </c>
      <c r="I75" s="6">
        <v>-81.813666666666663</v>
      </c>
      <c r="J75">
        <v>42.261233333333337</v>
      </c>
      <c r="K75">
        <v>-81.829883333333328</v>
      </c>
      <c r="L75">
        <v>41.621000000000002</v>
      </c>
      <c r="M75">
        <v>-81.539483333333337</v>
      </c>
      <c r="N75" s="22">
        <f t="shared" si="19"/>
        <v>4.0611591804426229E-2</v>
      </c>
      <c r="O75" s="22">
        <f t="shared" si="20"/>
        <v>0.66240886186536418</v>
      </c>
      <c r="P75" s="22">
        <f t="shared" si="8"/>
        <v>4.0611591804426229E-2</v>
      </c>
      <c r="Q75" s="10"/>
      <c r="R75">
        <v>19.3</v>
      </c>
      <c r="S75">
        <v>19.399999999999999</v>
      </c>
      <c r="T75" s="21">
        <v>17</v>
      </c>
      <c r="U75" s="21">
        <v>1</v>
      </c>
      <c r="V75" s="33">
        <v>2605</v>
      </c>
      <c r="W75" s="31">
        <v>20</v>
      </c>
      <c r="X75" s="32">
        <v>0.91</v>
      </c>
      <c r="Y75">
        <v>1234</v>
      </c>
      <c r="Z75" s="28">
        <f t="shared" si="9"/>
        <v>0</v>
      </c>
      <c r="AA75" s="28">
        <f t="shared" si="10"/>
        <v>0</v>
      </c>
      <c r="AB75" s="28">
        <f t="shared" si="11"/>
        <v>53.5</v>
      </c>
      <c r="AC75" s="28">
        <f t="shared" si="12"/>
        <v>8.1999999999999993</v>
      </c>
      <c r="AD75" s="28">
        <f t="shared" si="13"/>
        <v>0</v>
      </c>
      <c r="AE75">
        <f t="shared" si="21"/>
        <v>0</v>
      </c>
      <c r="AF75">
        <f t="shared" si="22"/>
        <v>0</v>
      </c>
      <c r="AG75">
        <f t="shared" si="23"/>
        <v>0.86709886547811998</v>
      </c>
      <c r="AH75">
        <f t="shared" si="24"/>
        <v>0.13290113452188007</v>
      </c>
      <c r="AI75">
        <f t="shared" si="25"/>
        <v>0</v>
      </c>
      <c r="AJ75">
        <v>0</v>
      </c>
      <c r="AK75">
        <v>0</v>
      </c>
      <c r="AL75">
        <v>1070</v>
      </c>
      <c r="AM75">
        <v>164</v>
      </c>
      <c r="AN75">
        <v>0</v>
      </c>
      <c r="AO75" s="22">
        <f t="shared" si="14"/>
        <v>0</v>
      </c>
      <c r="AP75" s="22">
        <f t="shared" si="15"/>
        <v>0</v>
      </c>
      <c r="AQ75" s="22">
        <f t="shared" si="16"/>
        <v>6.9763480704477487</v>
      </c>
      <c r="AR75" s="22">
        <f t="shared" si="17"/>
        <v>5.1059454739005803</v>
      </c>
      <c r="AS75" s="22">
        <f t="shared" si="18"/>
        <v>0</v>
      </c>
    </row>
    <row r="76" spans="1:45" x14ac:dyDescent="0.25">
      <c r="A76" s="1" t="s">
        <v>10</v>
      </c>
      <c r="B76" s="2">
        <v>40367</v>
      </c>
      <c r="C76">
        <v>189</v>
      </c>
      <c r="D76" s="1">
        <v>2010</v>
      </c>
      <c r="E76">
        <v>3006</v>
      </c>
      <c r="F76">
        <v>57600</v>
      </c>
      <c r="G76" s="44">
        <f t="shared" si="7"/>
        <v>0</v>
      </c>
      <c r="H76" s="13">
        <v>42.224166666666669</v>
      </c>
      <c r="I76" s="6">
        <v>-81.81483333333334</v>
      </c>
      <c r="J76">
        <v>42.261233333333337</v>
      </c>
      <c r="K76">
        <v>-81.829883333333328</v>
      </c>
      <c r="L76">
        <v>41.621000000000002</v>
      </c>
      <c r="M76">
        <v>-81.539483333333337</v>
      </c>
      <c r="N76" s="22">
        <f t="shared" si="19"/>
        <v>4.0005503093668369E-2</v>
      </c>
      <c r="O76" s="22">
        <f t="shared" si="20"/>
        <v>0.66304422950341657</v>
      </c>
      <c r="P76" s="22">
        <f t="shared" si="8"/>
        <v>4.0005503093668369E-2</v>
      </c>
      <c r="Q76" s="10"/>
      <c r="R76">
        <v>10.299999999999999</v>
      </c>
      <c r="S76">
        <v>19.400000000000002</v>
      </c>
      <c r="T76" s="21">
        <v>9</v>
      </c>
      <c r="U76" s="47">
        <v>0</v>
      </c>
      <c r="V76" s="33">
        <v>2700</v>
      </c>
      <c r="W76" s="31">
        <v>20</v>
      </c>
      <c r="X76" s="32">
        <v>0.94</v>
      </c>
      <c r="Y76">
        <v>565</v>
      </c>
      <c r="Z76" s="28">
        <f t="shared" si="9"/>
        <v>0</v>
      </c>
      <c r="AA76" s="28">
        <f t="shared" si="10"/>
        <v>0.3</v>
      </c>
      <c r="AB76" s="28">
        <f t="shared" si="11"/>
        <v>19.399999999999999</v>
      </c>
      <c r="AC76" s="28">
        <f t="shared" si="12"/>
        <v>7.65</v>
      </c>
      <c r="AD76" s="28">
        <f t="shared" si="13"/>
        <v>0.75</v>
      </c>
      <c r="AE76">
        <f t="shared" si="21"/>
        <v>0</v>
      </c>
      <c r="AF76">
        <f t="shared" si="22"/>
        <v>1.0619469026548672E-2</v>
      </c>
      <c r="AG76">
        <f t="shared" si="23"/>
        <v>0.68672566371681421</v>
      </c>
      <c r="AH76">
        <f t="shared" si="24"/>
        <v>0.27079646017699116</v>
      </c>
      <c r="AI76">
        <f t="shared" si="25"/>
        <v>2.6548672566371681E-2</v>
      </c>
      <c r="AJ76">
        <v>0</v>
      </c>
      <c r="AK76">
        <v>6</v>
      </c>
      <c r="AL76">
        <v>388</v>
      </c>
      <c r="AM76">
        <v>153</v>
      </c>
      <c r="AN76">
        <v>15</v>
      </c>
      <c r="AO76" s="22">
        <f t="shared" si="14"/>
        <v>0</v>
      </c>
      <c r="AP76" s="22">
        <f t="shared" si="15"/>
        <v>1.9459101490553132</v>
      </c>
      <c r="AQ76" s="22">
        <f t="shared" si="16"/>
        <v>5.9635793436184459</v>
      </c>
      <c r="AR76" s="22">
        <f t="shared" si="17"/>
        <v>5.0369526024136295</v>
      </c>
      <c r="AS76" s="22">
        <f t="shared" si="18"/>
        <v>2.7725887222397811</v>
      </c>
    </row>
    <row r="77" spans="1:45" x14ac:dyDescent="0.25">
      <c r="A77" s="1" t="s">
        <v>10</v>
      </c>
      <c r="B77" s="2">
        <v>40367</v>
      </c>
      <c r="C77">
        <v>189</v>
      </c>
      <c r="D77" s="1">
        <v>2010</v>
      </c>
      <c r="E77">
        <v>3007</v>
      </c>
      <c r="F77">
        <v>57600</v>
      </c>
      <c r="G77" s="44">
        <f t="shared" si="7"/>
        <v>0</v>
      </c>
      <c r="H77" s="13">
        <v>42.228666666666669</v>
      </c>
      <c r="I77" s="6">
        <v>-81.819666666666663</v>
      </c>
      <c r="J77">
        <v>42.261233333333337</v>
      </c>
      <c r="K77">
        <v>-81.829883333333328</v>
      </c>
      <c r="L77">
        <v>41.621000000000002</v>
      </c>
      <c r="M77">
        <v>-81.539483333333337</v>
      </c>
      <c r="N77" s="22">
        <f t="shared" si="19"/>
        <v>3.4131628375387933E-2</v>
      </c>
      <c r="O77" s="22">
        <f t="shared" si="20"/>
        <v>0.66914981734702117</v>
      </c>
      <c r="P77" s="22">
        <f t="shared" si="8"/>
        <v>3.4131628375387933E-2</v>
      </c>
      <c r="Q77" s="10"/>
      <c r="R77">
        <v>14.6</v>
      </c>
      <c r="S77">
        <v>18.900000000000002</v>
      </c>
      <c r="T77" s="21">
        <v>6</v>
      </c>
      <c r="U77" s="47">
        <v>0</v>
      </c>
      <c r="V77" s="33">
        <v>2754</v>
      </c>
      <c r="W77" s="31">
        <v>20</v>
      </c>
      <c r="X77" s="32">
        <v>0.89</v>
      </c>
      <c r="Y77">
        <v>1783</v>
      </c>
      <c r="Z77" s="28">
        <f t="shared" si="9"/>
        <v>0</v>
      </c>
      <c r="AA77" s="28">
        <f t="shared" si="10"/>
        <v>1.45</v>
      </c>
      <c r="AB77" s="28">
        <f t="shared" si="11"/>
        <v>38</v>
      </c>
      <c r="AC77" s="28">
        <f t="shared" si="12"/>
        <v>45</v>
      </c>
      <c r="AD77" s="28">
        <f t="shared" si="13"/>
        <v>4.55</v>
      </c>
      <c r="AE77">
        <f t="shared" si="21"/>
        <v>0</v>
      </c>
      <c r="AF77">
        <f t="shared" si="22"/>
        <v>1.6264722378014584E-2</v>
      </c>
      <c r="AG77">
        <f t="shared" si="23"/>
        <v>0.42624789680314079</v>
      </c>
      <c r="AH77">
        <f t="shared" si="24"/>
        <v>0.50476724621424562</v>
      </c>
      <c r="AI77">
        <f t="shared" si="25"/>
        <v>5.1037577117218173E-2</v>
      </c>
      <c r="AJ77">
        <v>0</v>
      </c>
      <c r="AK77">
        <v>29</v>
      </c>
      <c r="AL77">
        <v>760</v>
      </c>
      <c r="AM77">
        <v>900</v>
      </c>
      <c r="AN77">
        <v>91</v>
      </c>
      <c r="AO77" s="22">
        <f t="shared" si="14"/>
        <v>0</v>
      </c>
      <c r="AP77" s="22">
        <f t="shared" si="15"/>
        <v>3.4011973816621555</v>
      </c>
      <c r="AQ77" s="22">
        <f t="shared" si="16"/>
        <v>6.6346333578616861</v>
      </c>
      <c r="AR77" s="22">
        <f t="shared" si="17"/>
        <v>6.8035052576083377</v>
      </c>
      <c r="AS77" s="22">
        <f t="shared" si="18"/>
        <v>4.5217885770490405</v>
      </c>
    </row>
    <row r="78" spans="1:45" x14ac:dyDescent="0.25">
      <c r="A78" s="1" t="s">
        <v>10</v>
      </c>
      <c r="B78" s="2">
        <v>40367</v>
      </c>
      <c r="C78">
        <v>189</v>
      </c>
      <c r="D78" s="1">
        <v>2010</v>
      </c>
      <c r="E78">
        <v>3008</v>
      </c>
      <c r="F78">
        <v>57600</v>
      </c>
      <c r="G78" s="44">
        <f t="shared" si="7"/>
        <v>0</v>
      </c>
      <c r="H78" s="13">
        <v>42.263166666666663</v>
      </c>
      <c r="I78" s="6">
        <v>-81.827333333333328</v>
      </c>
      <c r="J78">
        <v>42.261233333333337</v>
      </c>
      <c r="K78">
        <v>-81.829883333333328</v>
      </c>
      <c r="L78">
        <v>41.621000000000002</v>
      </c>
      <c r="M78">
        <v>-81.539483333333337</v>
      </c>
      <c r="N78" s="22">
        <f t="shared" si="19"/>
        <v>3.2000434024787956E-3</v>
      </c>
      <c r="O78" s="22">
        <f t="shared" si="20"/>
        <v>0.70372981340693941</v>
      </c>
      <c r="P78" s="22">
        <f t="shared" si="8"/>
        <v>3.2000434024787956E-3</v>
      </c>
      <c r="Q78" s="10"/>
      <c r="R78">
        <v>12.5</v>
      </c>
      <c r="S78">
        <v>11.3</v>
      </c>
      <c r="T78" s="21">
        <v>9</v>
      </c>
      <c r="U78" s="47">
        <v>0</v>
      </c>
      <c r="V78" s="33">
        <v>2489</v>
      </c>
      <c r="W78" s="31">
        <v>20</v>
      </c>
      <c r="X78" s="32">
        <v>0.89</v>
      </c>
      <c r="Y78">
        <v>4751</v>
      </c>
      <c r="Z78" s="28">
        <f t="shared" si="9"/>
        <v>0</v>
      </c>
      <c r="AA78" s="28">
        <f t="shared" si="10"/>
        <v>0</v>
      </c>
      <c r="AB78" s="28">
        <f t="shared" si="11"/>
        <v>236.25</v>
      </c>
      <c r="AC78" s="28">
        <f t="shared" si="12"/>
        <v>0.9</v>
      </c>
      <c r="AD78" s="28">
        <f t="shared" si="13"/>
        <v>0.25</v>
      </c>
      <c r="AE78">
        <f t="shared" si="21"/>
        <v>0</v>
      </c>
      <c r="AF78">
        <f t="shared" si="22"/>
        <v>0</v>
      </c>
      <c r="AG78">
        <f t="shared" si="23"/>
        <v>0.99452746790149438</v>
      </c>
      <c r="AH78">
        <f t="shared" si="24"/>
        <v>3.7886760681961691E-3</v>
      </c>
      <c r="AI78">
        <f t="shared" si="25"/>
        <v>1.0524100189433804E-3</v>
      </c>
      <c r="AJ78">
        <v>0</v>
      </c>
      <c r="AK78">
        <v>0</v>
      </c>
      <c r="AL78">
        <v>4725</v>
      </c>
      <c r="AM78">
        <v>18</v>
      </c>
      <c r="AN78">
        <v>5</v>
      </c>
      <c r="AO78" s="22">
        <f t="shared" si="14"/>
        <v>0</v>
      </c>
      <c r="AP78" s="22">
        <f t="shared" si="15"/>
        <v>0</v>
      </c>
      <c r="AQ78" s="22">
        <f t="shared" si="16"/>
        <v>8.4608344577468539</v>
      </c>
      <c r="AR78" s="22">
        <f t="shared" si="17"/>
        <v>2.9444389791664403</v>
      </c>
      <c r="AS78" s="22">
        <f t="shared" si="18"/>
        <v>1.791759469228055</v>
      </c>
    </row>
    <row r="79" spans="1:45" x14ac:dyDescent="0.25">
      <c r="A79" s="1" t="s">
        <v>10</v>
      </c>
      <c r="B79" s="2">
        <v>40367</v>
      </c>
      <c r="C79">
        <v>189</v>
      </c>
      <c r="D79" s="1">
        <v>2010</v>
      </c>
      <c r="E79">
        <v>3009</v>
      </c>
      <c r="F79">
        <v>57600</v>
      </c>
      <c r="G79" s="44">
        <f t="shared" si="7"/>
        <v>0</v>
      </c>
      <c r="H79" s="13">
        <v>42.274333333333331</v>
      </c>
      <c r="I79" s="6">
        <v>-81.810666666666663</v>
      </c>
      <c r="J79">
        <v>42.261233333333337</v>
      </c>
      <c r="K79">
        <v>-81.829883333333328</v>
      </c>
      <c r="L79">
        <v>41.621000000000002</v>
      </c>
      <c r="M79">
        <v>-81.539483333333337</v>
      </c>
      <c r="N79" s="22">
        <f t="shared" si="19"/>
        <v>2.3257047916224651E-2</v>
      </c>
      <c r="O79" s="22">
        <f t="shared" si="20"/>
        <v>0.70737885515628218</v>
      </c>
      <c r="P79" s="22">
        <f t="shared" si="8"/>
        <v>2.3257047916224651E-2</v>
      </c>
      <c r="R79">
        <v>15.1</v>
      </c>
      <c r="S79">
        <v>14.5</v>
      </c>
      <c r="T79" s="21">
        <v>6</v>
      </c>
      <c r="U79" s="47">
        <v>0</v>
      </c>
      <c r="V79" s="33">
        <v>2933</v>
      </c>
      <c r="W79" s="31">
        <v>20</v>
      </c>
      <c r="X79" s="32">
        <v>0.93</v>
      </c>
      <c r="Y79">
        <v>764</v>
      </c>
      <c r="Z79" s="28">
        <f t="shared" si="9"/>
        <v>0</v>
      </c>
      <c r="AA79" s="28">
        <f t="shared" si="10"/>
        <v>1.1499999999999999</v>
      </c>
      <c r="AB79" s="28">
        <f t="shared" si="11"/>
        <v>0.15</v>
      </c>
      <c r="AC79" s="28">
        <f t="shared" si="12"/>
        <v>35.25</v>
      </c>
      <c r="AD79" s="28">
        <f t="shared" si="13"/>
        <v>1.65</v>
      </c>
      <c r="AE79">
        <f t="shared" si="21"/>
        <v>0</v>
      </c>
      <c r="AF79">
        <f t="shared" si="22"/>
        <v>3.0104712041884817E-2</v>
      </c>
      <c r="AG79">
        <f t="shared" si="23"/>
        <v>3.9267015706806281E-3</v>
      </c>
      <c r="AH79">
        <f t="shared" si="24"/>
        <v>0.92277486910994766</v>
      </c>
      <c r="AI79">
        <f t="shared" si="25"/>
        <v>4.3193717277486908E-2</v>
      </c>
      <c r="AJ79">
        <v>0</v>
      </c>
      <c r="AK79">
        <v>23</v>
      </c>
      <c r="AL79">
        <v>3</v>
      </c>
      <c r="AM79">
        <v>705</v>
      </c>
      <c r="AN79">
        <v>33</v>
      </c>
      <c r="AO79" s="22">
        <f t="shared" si="14"/>
        <v>0</v>
      </c>
      <c r="AP79" s="22">
        <f t="shared" si="15"/>
        <v>3.1780538303479458</v>
      </c>
      <c r="AQ79" s="22">
        <f t="shared" si="16"/>
        <v>1.3862943611198906</v>
      </c>
      <c r="AR79" s="22">
        <f t="shared" si="17"/>
        <v>6.5596152374932419</v>
      </c>
      <c r="AS79" s="22">
        <f t="shared" si="18"/>
        <v>3.5263605246161616</v>
      </c>
    </row>
    <row r="80" spans="1:45" x14ac:dyDescent="0.25">
      <c r="A80" s="1" t="s">
        <v>10</v>
      </c>
      <c r="B80" s="2">
        <v>40367</v>
      </c>
      <c r="C80">
        <v>189</v>
      </c>
      <c r="D80" s="1">
        <v>2010</v>
      </c>
      <c r="E80">
        <v>4001</v>
      </c>
      <c r="F80" s="1">
        <v>57350</v>
      </c>
      <c r="G80" s="44">
        <f t="shared" si="7"/>
        <v>0</v>
      </c>
      <c r="H80" s="13">
        <v>42.158166666666666</v>
      </c>
      <c r="I80" s="6">
        <v>-82.265500000000003</v>
      </c>
      <c r="J80">
        <v>42.1434</v>
      </c>
      <c r="K80">
        <v>-82.285266666666672</v>
      </c>
      <c r="L80">
        <v>41.52558333333333</v>
      </c>
      <c r="M80">
        <v>-81.97645</v>
      </c>
      <c r="N80" s="22">
        <f t="shared" si="19"/>
        <v>2.467337746551233E-2</v>
      </c>
      <c r="O80" s="22">
        <f t="shared" si="20"/>
        <v>0.6954937642503467</v>
      </c>
      <c r="P80" s="22">
        <f t="shared" si="8"/>
        <v>2.467337746551233E-2</v>
      </c>
      <c r="R80">
        <v>10.6</v>
      </c>
      <c r="S80">
        <v>10</v>
      </c>
      <c r="T80" s="21">
        <v>5</v>
      </c>
      <c r="U80" s="47">
        <v>0</v>
      </c>
      <c r="V80" s="33">
        <v>2135</v>
      </c>
      <c r="W80" s="31">
        <v>20</v>
      </c>
      <c r="X80" s="32">
        <v>0.96</v>
      </c>
      <c r="Y80">
        <v>78</v>
      </c>
      <c r="Z80" s="28">
        <f t="shared" si="9"/>
        <v>0</v>
      </c>
      <c r="AA80" s="28">
        <f t="shared" si="10"/>
        <v>0</v>
      </c>
      <c r="AB80" s="28">
        <f t="shared" si="11"/>
        <v>3.1</v>
      </c>
      <c r="AC80" s="28">
        <f t="shared" si="12"/>
        <v>0.8</v>
      </c>
      <c r="AD80" s="28">
        <f t="shared" si="13"/>
        <v>0</v>
      </c>
      <c r="AE80">
        <f t="shared" si="21"/>
        <v>0</v>
      </c>
      <c r="AF80">
        <f t="shared" si="22"/>
        <v>0</v>
      </c>
      <c r="AG80">
        <f t="shared" si="23"/>
        <v>0.79487179487179482</v>
      </c>
      <c r="AH80">
        <f t="shared" si="24"/>
        <v>0.20512820512820512</v>
      </c>
      <c r="AI80">
        <f t="shared" si="25"/>
        <v>0</v>
      </c>
      <c r="AJ80">
        <v>0</v>
      </c>
      <c r="AK80">
        <v>0</v>
      </c>
      <c r="AL80">
        <v>62</v>
      </c>
      <c r="AM80">
        <v>16</v>
      </c>
      <c r="AN80">
        <v>0</v>
      </c>
      <c r="AO80" s="22">
        <f t="shared" si="14"/>
        <v>0</v>
      </c>
      <c r="AP80" s="22">
        <f t="shared" si="15"/>
        <v>0</v>
      </c>
      <c r="AQ80" s="22">
        <f t="shared" si="16"/>
        <v>4.1431347263915326</v>
      </c>
      <c r="AR80" s="22">
        <f t="shared" si="17"/>
        <v>2.8332133440562162</v>
      </c>
      <c r="AS80" s="22">
        <f t="shared" si="18"/>
        <v>0</v>
      </c>
    </row>
    <row r="81" spans="1:45" x14ac:dyDescent="0.25">
      <c r="A81" s="1" t="s">
        <v>10</v>
      </c>
      <c r="B81" s="2">
        <v>40367</v>
      </c>
      <c r="C81">
        <v>189</v>
      </c>
      <c r="D81" s="1">
        <v>2010</v>
      </c>
      <c r="E81">
        <v>4002</v>
      </c>
      <c r="F81" s="1">
        <v>57350</v>
      </c>
      <c r="G81" s="44">
        <f t="shared" si="7"/>
        <v>0</v>
      </c>
      <c r="H81" s="13">
        <v>42.141500000000001</v>
      </c>
      <c r="I81" s="6">
        <v>-82.254833333333337</v>
      </c>
      <c r="J81">
        <v>42.1434</v>
      </c>
      <c r="K81">
        <v>-82.285266666666672</v>
      </c>
      <c r="L81">
        <v>41.52558333333333</v>
      </c>
      <c r="M81">
        <v>-81.97645</v>
      </c>
      <c r="N81" s="22">
        <f t="shared" si="19"/>
        <v>3.0492585619751145E-2</v>
      </c>
      <c r="O81" s="22">
        <f t="shared" si="20"/>
        <v>0.67590725736269686</v>
      </c>
      <c r="P81" s="22">
        <f t="shared" si="8"/>
        <v>3.0492585619751145E-2</v>
      </c>
      <c r="R81">
        <v>10.5</v>
      </c>
      <c r="S81">
        <v>14.699999999999998</v>
      </c>
      <c r="T81" s="21">
        <v>10</v>
      </c>
      <c r="U81" s="21">
        <v>0</v>
      </c>
      <c r="V81" s="33">
        <v>2216</v>
      </c>
      <c r="W81" s="31">
        <v>20</v>
      </c>
      <c r="X81" s="32">
        <v>0.94</v>
      </c>
      <c r="Y81">
        <v>572</v>
      </c>
      <c r="Z81" s="28">
        <f t="shared" si="9"/>
        <v>0</v>
      </c>
      <c r="AA81" s="28">
        <f t="shared" si="10"/>
        <v>0</v>
      </c>
      <c r="AB81" s="28">
        <f t="shared" si="11"/>
        <v>27.3</v>
      </c>
      <c r="AC81" s="28">
        <f t="shared" si="12"/>
        <v>1.25</v>
      </c>
      <c r="AD81" s="28">
        <f t="shared" si="13"/>
        <v>0</v>
      </c>
      <c r="AE81">
        <f t="shared" si="21"/>
        <v>0</v>
      </c>
      <c r="AF81">
        <f t="shared" si="22"/>
        <v>0</v>
      </c>
      <c r="AG81">
        <f t="shared" si="23"/>
        <v>0.95454545454545459</v>
      </c>
      <c r="AH81">
        <f t="shared" si="24"/>
        <v>4.3706293706293704E-2</v>
      </c>
      <c r="AI81">
        <f t="shared" si="25"/>
        <v>0</v>
      </c>
      <c r="AJ81">
        <v>0</v>
      </c>
      <c r="AK81">
        <v>0</v>
      </c>
      <c r="AL81">
        <v>546</v>
      </c>
      <c r="AM81">
        <v>25</v>
      </c>
      <c r="AN81">
        <v>0</v>
      </c>
      <c r="AO81" s="22">
        <f t="shared" si="14"/>
        <v>0</v>
      </c>
      <c r="AP81" s="22">
        <f t="shared" si="15"/>
        <v>0</v>
      </c>
      <c r="AQ81" s="22">
        <f t="shared" si="16"/>
        <v>6.3044488024219811</v>
      </c>
      <c r="AR81" s="22">
        <f t="shared" si="17"/>
        <v>3.2580965380214821</v>
      </c>
      <c r="AS81" s="22">
        <f t="shared" si="18"/>
        <v>0</v>
      </c>
    </row>
    <row r="82" spans="1:45" x14ac:dyDescent="0.25">
      <c r="A82" s="1" t="s">
        <v>10</v>
      </c>
      <c r="B82" s="2">
        <v>40371</v>
      </c>
      <c r="C82">
        <v>193</v>
      </c>
      <c r="D82" s="1">
        <v>2010</v>
      </c>
      <c r="E82">
        <v>4003</v>
      </c>
      <c r="F82" s="1">
        <v>57350</v>
      </c>
      <c r="G82" s="44">
        <f t="shared" si="7"/>
        <v>0</v>
      </c>
      <c r="H82" s="13">
        <v>42.0685</v>
      </c>
      <c r="I82" s="6">
        <v>-82.220000000000013</v>
      </c>
      <c r="J82">
        <v>42.1434</v>
      </c>
      <c r="K82">
        <v>-82.285266666666672</v>
      </c>
      <c r="L82">
        <v>41.52558333333333</v>
      </c>
      <c r="M82">
        <v>-81.97645</v>
      </c>
      <c r="N82" s="22">
        <f t="shared" si="19"/>
        <v>9.9346604258911175E-2</v>
      </c>
      <c r="O82" s="22">
        <f t="shared" si="20"/>
        <v>0.59504210728691698</v>
      </c>
      <c r="P82" s="22">
        <f t="shared" ref="P82:P145" si="26">MIN(O82, N82)</f>
        <v>9.9346604258911175E-2</v>
      </c>
      <c r="R82">
        <v>10.4</v>
      </c>
      <c r="S82">
        <v>21.3</v>
      </c>
      <c r="T82" s="21">
        <v>14</v>
      </c>
      <c r="U82" s="21">
        <v>0</v>
      </c>
      <c r="V82" s="33">
        <v>2350</v>
      </c>
      <c r="W82" s="31">
        <v>20</v>
      </c>
      <c r="X82" s="32">
        <v>0.95</v>
      </c>
      <c r="Y82">
        <v>449</v>
      </c>
      <c r="Z82" s="28">
        <f t="shared" si="9"/>
        <v>0</v>
      </c>
      <c r="AA82" s="28">
        <f t="shared" si="10"/>
        <v>0.75</v>
      </c>
      <c r="AB82" s="28">
        <f t="shared" si="11"/>
        <v>17.350000000000001</v>
      </c>
      <c r="AC82" s="28">
        <f t="shared" si="12"/>
        <v>4.2</v>
      </c>
      <c r="AD82" s="28">
        <f t="shared" si="13"/>
        <v>0</v>
      </c>
      <c r="AE82">
        <f t="shared" si="21"/>
        <v>0</v>
      </c>
      <c r="AF82">
        <f t="shared" si="22"/>
        <v>3.34075723830735E-2</v>
      </c>
      <c r="AG82">
        <f t="shared" si="23"/>
        <v>0.77282850779510026</v>
      </c>
      <c r="AH82">
        <f t="shared" si="24"/>
        <v>0.18708240534521159</v>
      </c>
      <c r="AI82">
        <f t="shared" si="25"/>
        <v>0</v>
      </c>
      <c r="AJ82">
        <v>0</v>
      </c>
      <c r="AK82">
        <v>15</v>
      </c>
      <c r="AL82">
        <v>347</v>
      </c>
      <c r="AM82">
        <v>84</v>
      </c>
      <c r="AN82">
        <v>0</v>
      </c>
      <c r="AO82" s="22">
        <f t="shared" si="14"/>
        <v>0</v>
      </c>
      <c r="AP82" s="22">
        <f t="shared" si="15"/>
        <v>2.7725887222397811</v>
      </c>
      <c r="AQ82" s="22">
        <f t="shared" si="16"/>
        <v>5.8522024797744745</v>
      </c>
      <c r="AR82" s="22">
        <f t="shared" si="17"/>
        <v>4.4426512564903167</v>
      </c>
      <c r="AS82" s="22">
        <f t="shared" si="18"/>
        <v>0</v>
      </c>
    </row>
    <row r="83" spans="1:45" x14ac:dyDescent="0.25">
      <c r="A83" s="1" t="s">
        <v>10</v>
      </c>
      <c r="B83" s="2">
        <v>40371</v>
      </c>
      <c r="C83">
        <v>193</v>
      </c>
      <c r="D83" s="1">
        <v>2010</v>
      </c>
      <c r="E83">
        <v>4004</v>
      </c>
      <c r="F83" s="1">
        <v>57350</v>
      </c>
      <c r="G83" s="44">
        <f t="shared" ref="G83:G146" si="27">IF(F83&lt;57601, 0, 1)</f>
        <v>0</v>
      </c>
      <c r="H83" s="13">
        <v>42.054499999999997</v>
      </c>
      <c r="I83" s="6">
        <v>-82.215000000000018</v>
      </c>
      <c r="J83">
        <v>42.1434</v>
      </c>
      <c r="K83">
        <v>-82.285266666666672</v>
      </c>
      <c r="L83">
        <v>41.52558333333333</v>
      </c>
      <c r="M83">
        <v>-81.97645</v>
      </c>
      <c r="N83" s="22">
        <f t="shared" si="19"/>
        <v>0.11331643501471074</v>
      </c>
      <c r="O83" s="22">
        <f t="shared" si="20"/>
        <v>0.58022318359213032</v>
      </c>
      <c r="P83" s="22">
        <f t="shared" si="26"/>
        <v>0.11331643501471074</v>
      </c>
      <c r="R83">
        <v>23.900000000000002</v>
      </c>
      <c r="S83">
        <v>20.900000000000002</v>
      </c>
      <c r="T83" s="21">
        <v>10</v>
      </c>
      <c r="U83" s="21">
        <v>0</v>
      </c>
      <c r="V83" s="33">
        <v>2443</v>
      </c>
      <c r="W83" s="31">
        <v>20</v>
      </c>
      <c r="X83" s="32">
        <v>1.0900000000000001</v>
      </c>
      <c r="Y83">
        <v>1752</v>
      </c>
      <c r="Z83" s="28">
        <f t="shared" ref="Z83:Z146" si="28">AJ83/$W83</f>
        <v>0.2</v>
      </c>
      <c r="AA83" s="28">
        <f t="shared" ref="AA83:AA146" si="29">AK83/$W83</f>
        <v>0.4</v>
      </c>
      <c r="AB83" s="28">
        <f t="shared" ref="AB83:AB146" si="30">AL83/$W83</f>
        <v>0</v>
      </c>
      <c r="AC83" s="28">
        <f t="shared" ref="AC83:AC146" si="31">AM83/$W83</f>
        <v>86.5</v>
      </c>
      <c r="AD83" s="28">
        <f t="shared" ref="AD83:AD146" si="32">AN83/$W83</f>
        <v>0</v>
      </c>
      <c r="AE83">
        <f t="shared" si="21"/>
        <v>2.2831050228310501E-3</v>
      </c>
      <c r="AF83">
        <f t="shared" si="22"/>
        <v>4.5662100456621002E-3</v>
      </c>
      <c r="AG83">
        <f t="shared" si="23"/>
        <v>0</v>
      </c>
      <c r="AH83">
        <f t="shared" si="24"/>
        <v>0.98744292237442921</v>
      </c>
      <c r="AI83">
        <f t="shared" si="25"/>
        <v>0</v>
      </c>
      <c r="AJ83">
        <v>4</v>
      </c>
      <c r="AK83">
        <v>8</v>
      </c>
      <c r="AL83">
        <v>0</v>
      </c>
      <c r="AM83">
        <v>1730</v>
      </c>
      <c r="AN83">
        <v>0</v>
      </c>
      <c r="AO83" s="22">
        <f t="shared" ref="AO83:AO146" si="33">LN(AJ83+1)</f>
        <v>1.6094379124341003</v>
      </c>
      <c r="AP83" s="22">
        <f t="shared" ref="AP83:AP146" si="34">LN(AK83+1)</f>
        <v>2.1972245773362196</v>
      </c>
      <c r="AQ83" s="22">
        <f t="shared" ref="AQ83:AQ146" si="35">LN(AL83+1)</f>
        <v>0</v>
      </c>
      <c r="AR83" s="22">
        <f t="shared" ref="AR83:AR146" si="36">LN(AM83+1)</f>
        <v>7.4564545551762089</v>
      </c>
      <c r="AS83" s="22">
        <f t="shared" ref="AS83:AS146" si="37">LN(AN83+1)</f>
        <v>0</v>
      </c>
    </row>
    <row r="84" spans="1:45" x14ac:dyDescent="0.25">
      <c r="A84" s="1" t="s">
        <v>10</v>
      </c>
      <c r="B84" s="2">
        <v>40371</v>
      </c>
      <c r="C84">
        <v>193</v>
      </c>
      <c r="D84" s="1">
        <v>2010</v>
      </c>
      <c r="E84">
        <v>4005</v>
      </c>
      <c r="F84" s="1">
        <v>57350</v>
      </c>
      <c r="G84" s="44">
        <f t="shared" si="27"/>
        <v>0</v>
      </c>
      <c r="H84" s="13">
        <v>42.060833333333335</v>
      </c>
      <c r="I84" s="6">
        <v>-82.224999999999994</v>
      </c>
      <c r="J84">
        <v>42.1434</v>
      </c>
      <c r="K84">
        <v>-82.285266666666672</v>
      </c>
      <c r="L84">
        <v>41.52558333333333</v>
      </c>
      <c r="M84">
        <v>-81.97645</v>
      </c>
      <c r="N84" s="22">
        <f t="shared" si="19"/>
        <v>0.10222194263247301</v>
      </c>
      <c r="O84" s="22">
        <f t="shared" si="20"/>
        <v>0.59014376638239807</v>
      </c>
      <c r="P84" s="22">
        <f t="shared" si="26"/>
        <v>0.10222194263247301</v>
      </c>
      <c r="R84">
        <v>24.9</v>
      </c>
      <c r="S84">
        <v>21</v>
      </c>
      <c r="T84" s="21">
        <v>7</v>
      </c>
      <c r="U84" s="47">
        <v>0</v>
      </c>
      <c r="V84" s="33">
        <v>2637</v>
      </c>
      <c r="W84" s="31">
        <v>20</v>
      </c>
      <c r="X84" s="32">
        <v>1.1000000000000001</v>
      </c>
      <c r="Y84">
        <v>1651</v>
      </c>
      <c r="Z84" s="28">
        <f t="shared" si="28"/>
        <v>0.15</v>
      </c>
      <c r="AA84" s="28">
        <f t="shared" si="29"/>
        <v>0.1</v>
      </c>
      <c r="AB84" s="28">
        <f t="shared" si="30"/>
        <v>0</v>
      </c>
      <c r="AC84" s="28">
        <f t="shared" si="31"/>
        <v>82.2</v>
      </c>
      <c r="AD84" s="28">
        <f t="shared" si="32"/>
        <v>0</v>
      </c>
      <c r="AE84">
        <f t="shared" si="21"/>
        <v>1.8170805572380376E-3</v>
      </c>
      <c r="AF84">
        <f t="shared" si="22"/>
        <v>1.2113870381586917E-3</v>
      </c>
      <c r="AG84">
        <f t="shared" si="23"/>
        <v>0</v>
      </c>
      <c r="AH84">
        <f t="shared" si="24"/>
        <v>0.99576014536644453</v>
      </c>
      <c r="AI84">
        <f t="shared" si="25"/>
        <v>0</v>
      </c>
      <c r="AJ84">
        <v>3</v>
      </c>
      <c r="AK84">
        <v>2</v>
      </c>
      <c r="AL84">
        <v>0</v>
      </c>
      <c r="AM84">
        <v>1644</v>
      </c>
      <c r="AN84">
        <v>0</v>
      </c>
      <c r="AO84" s="22">
        <f t="shared" si="33"/>
        <v>1.3862943611198906</v>
      </c>
      <c r="AP84" s="22">
        <f t="shared" si="34"/>
        <v>1.0986122886681098</v>
      </c>
      <c r="AQ84" s="22">
        <f t="shared" si="35"/>
        <v>0</v>
      </c>
      <c r="AR84" s="22">
        <f t="shared" si="36"/>
        <v>7.4054956631994724</v>
      </c>
      <c r="AS84" s="22">
        <f t="shared" si="37"/>
        <v>0</v>
      </c>
    </row>
    <row r="85" spans="1:45" x14ac:dyDescent="0.25">
      <c r="A85" s="1" t="s">
        <v>10</v>
      </c>
      <c r="B85" s="2">
        <v>40371</v>
      </c>
      <c r="C85">
        <v>193</v>
      </c>
      <c r="D85" s="1">
        <v>2010</v>
      </c>
      <c r="E85">
        <v>4006</v>
      </c>
      <c r="F85" s="1">
        <v>57350</v>
      </c>
      <c r="G85" s="44">
        <f t="shared" si="27"/>
        <v>0</v>
      </c>
      <c r="H85" s="13">
        <v>41.863500000000002</v>
      </c>
      <c r="I85" s="6">
        <v>-82.120666666666665</v>
      </c>
      <c r="J85">
        <v>42.1434</v>
      </c>
      <c r="K85">
        <v>-82.285266666666672</v>
      </c>
      <c r="L85">
        <v>41.52558333333333</v>
      </c>
      <c r="M85">
        <v>-81.97645</v>
      </c>
      <c r="N85" s="22">
        <f t="shared" si="19"/>
        <v>0.3247109021883946</v>
      </c>
      <c r="O85" s="22">
        <f t="shared" si="20"/>
        <v>0.36740457340043919</v>
      </c>
      <c r="P85" s="22">
        <f t="shared" si="26"/>
        <v>0.3247109021883946</v>
      </c>
      <c r="R85">
        <v>10.4</v>
      </c>
      <c r="S85">
        <v>21.3</v>
      </c>
      <c r="T85" s="21">
        <v>17</v>
      </c>
      <c r="U85" s="21">
        <v>1</v>
      </c>
      <c r="V85" s="33">
        <v>2752</v>
      </c>
      <c r="W85" s="31">
        <v>20</v>
      </c>
      <c r="X85" s="32">
        <v>0.95</v>
      </c>
      <c r="Y85">
        <v>199</v>
      </c>
      <c r="Z85" s="28">
        <f t="shared" si="28"/>
        <v>0</v>
      </c>
      <c r="AA85" s="28">
        <f t="shared" si="29"/>
        <v>1.35</v>
      </c>
      <c r="AB85" s="28">
        <f t="shared" si="30"/>
        <v>0.85</v>
      </c>
      <c r="AC85" s="28">
        <f t="shared" si="31"/>
        <v>7.6</v>
      </c>
      <c r="AD85" s="28">
        <f t="shared" si="32"/>
        <v>0</v>
      </c>
      <c r="AE85">
        <f t="shared" si="21"/>
        <v>0</v>
      </c>
      <c r="AF85">
        <f t="shared" si="22"/>
        <v>0.135678391959799</v>
      </c>
      <c r="AG85">
        <f t="shared" si="23"/>
        <v>8.5427135678391955E-2</v>
      </c>
      <c r="AH85">
        <f t="shared" si="24"/>
        <v>0.76381909547738691</v>
      </c>
      <c r="AI85">
        <f t="shared" si="25"/>
        <v>0</v>
      </c>
      <c r="AJ85">
        <v>0</v>
      </c>
      <c r="AK85">
        <v>27</v>
      </c>
      <c r="AL85">
        <v>17</v>
      </c>
      <c r="AM85">
        <v>152</v>
      </c>
      <c r="AN85">
        <v>0</v>
      </c>
      <c r="AO85" s="22">
        <f t="shared" si="33"/>
        <v>0</v>
      </c>
      <c r="AP85" s="22">
        <f t="shared" si="34"/>
        <v>3.3322045101752038</v>
      </c>
      <c r="AQ85" s="22">
        <f t="shared" si="35"/>
        <v>2.8903717578961645</v>
      </c>
      <c r="AR85" s="22">
        <f t="shared" si="36"/>
        <v>5.0304379213924353</v>
      </c>
      <c r="AS85" s="22">
        <f t="shared" si="37"/>
        <v>0</v>
      </c>
    </row>
    <row r="86" spans="1:45" x14ac:dyDescent="0.25">
      <c r="A86" s="1" t="s">
        <v>10</v>
      </c>
      <c r="B86" s="2">
        <v>40371</v>
      </c>
      <c r="C86">
        <v>193</v>
      </c>
      <c r="D86" s="1">
        <v>2010</v>
      </c>
      <c r="E86">
        <v>4007</v>
      </c>
      <c r="F86" s="1">
        <v>57350</v>
      </c>
      <c r="G86" s="44">
        <f t="shared" si="27"/>
        <v>0</v>
      </c>
      <c r="H86" s="13">
        <v>41.887833333333333</v>
      </c>
      <c r="I86" s="6">
        <v>-82.116</v>
      </c>
      <c r="J86">
        <v>42.1434</v>
      </c>
      <c r="K86">
        <v>-82.285266666666672</v>
      </c>
      <c r="L86">
        <v>41.52558333333333</v>
      </c>
      <c r="M86">
        <v>-81.97645</v>
      </c>
      <c r="N86" s="22">
        <f t="shared" si="19"/>
        <v>0.30653796755957907</v>
      </c>
      <c r="O86" s="22">
        <f t="shared" si="20"/>
        <v>0.38820003219989846</v>
      </c>
      <c r="P86" s="22">
        <f t="shared" si="26"/>
        <v>0.30653796755957907</v>
      </c>
      <c r="R86">
        <v>19.8</v>
      </c>
      <c r="S86">
        <v>21.8</v>
      </c>
      <c r="T86" s="21">
        <v>14</v>
      </c>
      <c r="U86" s="21">
        <v>0</v>
      </c>
      <c r="V86" s="33">
        <v>2840</v>
      </c>
      <c r="W86" s="31">
        <v>20</v>
      </c>
      <c r="X86" s="32">
        <v>0.94</v>
      </c>
      <c r="Y86">
        <v>188</v>
      </c>
      <c r="Z86" s="28">
        <f t="shared" si="28"/>
        <v>0</v>
      </c>
      <c r="AA86" s="28">
        <f t="shared" si="29"/>
        <v>3.85</v>
      </c>
      <c r="AB86" s="28">
        <f t="shared" si="30"/>
        <v>0</v>
      </c>
      <c r="AC86" s="28">
        <f t="shared" si="31"/>
        <v>5.0999999999999996</v>
      </c>
      <c r="AD86" s="28">
        <f t="shared" si="32"/>
        <v>0.1</v>
      </c>
      <c r="AE86">
        <f t="shared" si="21"/>
        <v>0</v>
      </c>
      <c r="AF86">
        <f t="shared" si="22"/>
        <v>0.40957446808510639</v>
      </c>
      <c r="AG86">
        <f t="shared" si="23"/>
        <v>0</v>
      </c>
      <c r="AH86">
        <f t="shared" si="24"/>
        <v>0.54255319148936165</v>
      </c>
      <c r="AI86">
        <f t="shared" si="25"/>
        <v>1.0638297872340425E-2</v>
      </c>
      <c r="AJ86">
        <v>0</v>
      </c>
      <c r="AK86">
        <v>77</v>
      </c>
      <c r="AL86">
        <v>0</v>
      </c>
      <c r="AM86">
        <v>102</v>
      </c>
      <c r="AN86">
        <v>2</v>
      </c>
      <c r="AO86" s="22">
        <f t="shared" si="33"/>
        <v>0</v>
      </c>
      <c r="AP86" s="22">
        <f t="shared" si="34"/>
        <v>4.3567088266895917</v>
      </c>
      <c r="AQ86" s="22">
        <f t="shared" si="35"/>
        <v>0</v>
      </c>
      <c r="AR86" s="22">
        <f t="shared" si="36"/>
        <v>4.6347289882296359</v>
      </c>
      <c r="AS86" s="22">
        <f t="shared" si="37"/>
        <v>1.0986122886681098</v>
      </c>
    </row>
    <row r="87" spans="1:45" x14ac:dyDescent="0.25">
      <c r="A87" s="1" t="s">
        <v>10</v>
      </c>
      <c r="B87" s="2">
        <v>40371</v>
      </c>
      <c r="C87">
        <v>193</v>
      </c>
      <c r="D87" s="1">
        <v>2010</v>
      </c>
      <c r="E87">
        <v>4008</v>
      </c>
      <c r="F87" s="1">
        <v>57350</v>
      </c>
      <c r="G87" s="44">
        <f t="shared" si="27"/>
        <v>0</v>
      </c>
      <c r="H87" s="13">
        <v>41.914499999999997</v>
      </c>
      <c r="I87" s="6">
        <v>-82.156666666666666</v>
      </c>
      <c r="J87">
        <v>42.1434</v>
      </c>
      <c r="K87">
        <v>-82.285266666666672</v>
      </c>
      <c r="L87">
        <v>41.52558333333333</v>
      </c>
      <c r="M87">
        <v>-81.97645</v>
      </c>
      <c r="N87" s="22">
        <f t="shared" si="19"/>
        <v>0.2625512711833688</v>
      </c>
      <c r="O87" s="22">
        <f t="shared" si="20"/>
        <v>0.4286422990741296</v>
      </c>
      <c r="P87" s="22">
        <f t="shared" si="26"/>
        <v>0.2625512711833688</v>
      </c>
      <c r="R87">
        <v>24.5</v>
      </c>
      <c r="S87">
        <v>21.8</v>
      </c>
      <c r="T87" s="21">
        <v>6</v>
      </c>
      <c r="U87" s="47">
        <v>0</v>
      </c>
      <c r="V87" s="33">
        <v>2926</v>
      </c>
      <c r="W87" s="31">
        <v>20</v>
      </c>
      <c r="X87" s="32">
        <v>0.94</v>
      </c>
      <c r="Y87">
        <v>53</v>
      </c>
      <c r="Z87" s="28">
        <f t="shared" si="28"/>
        <v>0</v>
      </c>
      <c r="AA87" s="28">
        <f t="shared" si="29"/>
        <v>2.15</v>
      </c>
      <c r="AB87" s="28">
        <f t="shared" si="30"/>
        <v>0</v>
      </c>
      <c r="AC87" s="28">
        <f t="shared" si="31"/>
        <v>0.4</v>
      </c>
      <c r="AD87" s="28">
        <f t="shared" si="32"/>
        <v>0.1</v>
      </c>
      <c r="AE87">
        <f t="shared" si="21"/>
        <v>0</v>
      </c>
      <c r="AF87">
        <f t="shared" si="22"/>
        <v>0.81132075471698117</v>
      </c>
      <c r="AG87">
        <f t="shared" si="23"/>
        <v>0</v>
      </c>
      <c r="AH87">
        <f t="shared" si="24"/>
        <v>0.15094339622641509</v>
      </c>
      <c r="AI87">
        <f t="shared" si="25"/>
        <v>3.7735849056603772E-2</v>
      </c>
      <c r="AJ87">
        <v>0</v>
      </c>
      <c r="AK87">
        <v>43</v>
      </c>
      <c r="AL87">
        <v>0</v>
      </c>
      <c r="AM87">
        <v>8</v>
      </c>
      <c r="AN87">
        <v>2</v>
      </c>
      <c r="AO87" s="22">
        <f t="shared" si="33"/>
        <v>0</v>
      </c>
      <c r="AP87" s="22">
        <f t="shared" si="34"/>
        <v>3.784189633918261</v>
      </c>
      <c r="AQ87" s="22">
        <f t="shared" si="35"/>
        <v>0</v>
      </c>
      <c r="AR87" s="22">
        <f t="shared" si="36"/>
        <v>2.1972245773362196</v>
      </c>
      <c r="AS87" s="22">
        <f t="shared" si="37"/>
        <v>1.0986122886681098</v>
      </c>
    </row>
    <row r="88" spans="1:45" x14ac:dyDescent="0.25">
      <c r="A88" s="1" t="s">
        <v>7</v>
      </c>
      <c r="B88" s="2">
        <v>40729</v>
      </c>
      <c r="C88">
        <v>186</v>
      </c>
      <c r="D88" s="1">
        <v>2011</v>
      </c>
      <c r="E88">
        <v>1</v>
      </c>
      <c r="F88" s="1">
        <v>57850</v>
      </c>
      <c r="G88" s="44">
        <f t="shared" si="27"/>
        <v>1</v>
      </c>
      <c r="H88" s="6">
        <v>42.485750000000003</v>
      </c>
      <c r="I88" s="6">
        <v>-81.439066999999994</v>
      </c>
      <c r="J88">
        <v>42.566916666666664</v>
      </c>
      <c r="K88">
        <v>-81.47208333333333</v>
      </c>
      <c r="L88">
        <v>41.819366666666667</v>
      </c>
      <c r="M88">
        <v>-81.155166666666673</v>
      </c>
      <c r="N88" s="22">
        <f t="shared" si="19"/>
        <v>8.7624802679120595E-2</v>
      </c>
      <c r="O88" s="22">
        <f t="shared" si="20"/>
        <v>0.72433841967081825</v>
      </c>
      <c r="P88" s="22">
        <f t="shared" si="26"/>
        <v>8.7624802679120595E-2</v>
      </c>
      <c r="S88">
        <v>19</v>
      </c>
      <c r="T88" s="1">
        <v>3</v>
      </c>
      <c r="U88" s="1">
        <v>0</v>
      </c>
      <c r="V88">
        <v>2230</v>
      </c>
      <c r="W88">
        <v>10</v>
      </c>
      <c r="Y88">
        <v>31</v>
      </c>
      <c r="Z88" s="28">
        <f t="shared" si="28"/>
        <v>0</v>
      </c>
      <c r="AA88" s="28">
        <f t="shared" si="29"/>
        <v>2.8</v>
      </c>
      <c r="AB88" s="28">
        <f t="shared" si="30"/>
        <v>0</v>
      </c>
      <c r="AC88" s="28">
        <f t="shared" si="31"/>
        <v>0.3</v>
      </c>
      <c r="AD88" s="28">
        <f t="shared" si="32"/>
        <v>0</v>
      </c>
      <c r="AE88">
        <f t="shared" si="21"/>
        <v>0</v>
      </c>
      <c r="AF88">
        <f t="shared" si="22"/>
        <v>0.90322580645161288</v>
      </c>
      <c r="AG88">
        <f t="shared" si="23"/>
        <v>0</v>
      </c>
      <c r="AH88">
        <f t="shared" si="24"/>
        <v>9.6774193548387094E-2</v>
      </c>
      <c r="AI88">
        <f t="shared" si="25"/>
        <v>0</v>
      </c>
      <c r="AJ88">
        <v>0</v>
      </c>
      <c r="AK88">
        <v>28</v>
      </c>
      <c r="AL88">
        <v>0</v>
      </c>
      <c r="AM88">
        <v>3</v>
      </c>
      <c r="AN88">
        <v>0</v>
      </c>
      <c r="AO88" s="22">
        <f t="shared" si="33"/>
        <v>0</v>
      </c>
      <c r="AP88" s="22">
        <f t="shared" si="34"/>
        <v>3.3672958299864741</v>
      </c>
      <c r="AQ88" s="22">
        <f t="shared" si="35"/>
        <v>0</v>
      </c>
      <c r="AR88" s="22">
        <f t="shared" si="36"/>
        <v>1.3862943611198906</v>
      </c>
      <c r="AS88" s="22">
        <f t="shared" si="37"/>
        <v>0</v>
      </c>
    </row>
    <row r="89" spans="1:45" x14ac:dyDescent="0.25">
      <c r="A89" s="1" t="s">
        <v>7</v>
      </c>
      <c r="B89" s="2">
        <v>40729</v>
      </c>
      <c r="C89">
        <v>186</v>
      </c>
      <c r="D89" s="1">
        <v>2011</v>
      </c>
      <c r="E89">
        <v>2</v>
      </c>
      <c r="F89" s="1">
        <v>57850</v>
      </c>
      <c r="G89" s="44">
        <f t="shared" si="27"/>
        <v>1</v>
      </c>
      <c r="H89" s="6">
        <v>42.411749999999998</v>
      </c>
      <c r="I89" s="6">
        <v>-81.405133000000006</v>
      </c>
      <c r="J89">
        <v>42.566916666666664</v>
      </c>
      <c r="K89">
        <v>-81.47208333333333</v>
      </c>
      <c r="L89">
        <v>41.819366666666667</v>
      </c>
      <c r="M89">
        <v>-81.155166666666673</v>
      </c>
      <c r="N89" s="22">
        <f t="shared" ref="N89:N152" si="38">SQRT(((I89-K89)^2)+((H89-J89)^2))</f>
        <v>0.16899420575240884</v>
      </c>
      <c r="O89" s="22">
        <f t="shared" ref="O89:O152" si="39">SQRT(((I89-M89)^2)+((H89-L89)^2))</f>
        <v>0.64296281495217034</v>
      </c>
      <c r="P89" s="22">
        <f t="shared" si="26"/>
        <v>0.16899420575240884</v>
      </c>
      <c r="S89">
        <v>21</v>
      </c>
      <c r="T89" s="1">
        <v>11</v>
      </c>
      <c r="U89" s="1">
        <v>0</v>
      </c>
      <c r="V89">
        <v>2324</v>
      </c>
      <c r="W89">
        <v>10</v>
      </c>
      <c r="Y89">
        <v>21</v>
      </c>
      <c r="Z89" s="28">
        <f t="shared" si="28"/>
        <v>0</v>
      </c>
      <c r="AA89" s="28">
        <f t="shared" si="29"/>
        <v>1.1000000000000001</v>
      </c>
      <c r="AB89" s="28">
        <f t="shared" si="30"/>
        <v>0.8</v>
      </c>
      <c r="AC89" s="28">
        <f t="shared" si="31"/>
        <v>0.2</v>
      </c>
      <c r="AD89" s="28">
        <f t="shared" si="32"/>
        <v>0</v>
      </c>
      <c r="AE89">
        <f t="shared" si="21"/>
        <v>0</v>
      </c>
      <c r="AF89">
        <f t="shared" si="22"/>
        <v>0.52380952380952384</v>
      </c>
      <c r="AG89">
        <f t="shared" si="23"/>
        <v>0.38095238095238093</v>
      </c>
      <c r="AH89">
        <f t="shared" si="24"/>
        <v>9.5238095238095233E-2</v>
      </c>
      <c r="AI89">
        <f t="shared" si="25"/>
        <v>0</v>
      </c>
      <c r="AJ89">
        <v>0</v>
      </c>
      <c r="AK89">
        <v>11</v>
      </c>
      <c r="AL89">
        <v>8</v>
      </c>
      <c r="AM89">
        <v>2</v>
      </c>
      <c r="AN89">
        <v>0</v>
      </c>
      <c r="AO89" s="22">
        <f t="shared" si="33"/>
        <v>0</v>
      </c>
      <c r="AP89" s="22">
        <f t="shared" si="34"/>
        <v>2.4849066497880004</v>
      </c>
      <c r="AQ89" s="22">
        <f t="shared" si="35"/>
        <v>2.1972245773362196</v>
      </c>
      <c r="AR89" s="22">
        <f t="shared" si="36"/>
        <v>1.0986122886681098</v>
      </c>
      <c r="AS89" s="22">
        <f t="shared" si="37"/>
        <v>0</v>
      </c>
    </row>
    <row r="90" spans="1:45" x14ac:dyDescent="0.25">
      <c r="A90" s="1" t="s">
        <v>7</v>
      </c>
      <c r="B90" s="2">
        <v>40730</v>
      </c>
      <c r="C90">
        <v>187</v>
      </c>
      <c r="D90" s="1">
        <v>2011</v>
      </c>
      <c r="E90">
        <v>3</v>
      </c>
      <c r="F90" s="1">
        <v>57850</v>
      </c>
      <c r="G90" s="44">
        <f t="shared" si="27"/>
        <v>1</v>
      </c>
      <c r="H90" s="6">
        <v>42.144432999999999</v>
      </c>
      <c r="I90" s="6">
        <v>-81.292266999999995</v>
      </c>
      <c r="J90">
        <v>42.566916666666664</v>
      </c>
      <c r="K90">
        <v>-81.47208333333333</v>
      </c>
      <c r="L90">
        <v>41.819366666666667</v>
      </c>
      <c r="M90">
        <v>-81.155166666666673</v>
      </c>
      <c r="N90" s="22">
        <f t="shared" si="38"/>
        <v>0.45915831946459867</v>
      </c>
      <c r="O90" s="22">
        <f t="shared" si="39"/>
        <v>0.35279543997461904</v>
      </c>
      <c r="P90" s="22">
        <f t="shared" si="26"/>
        <v>0.35279543997461904</v>
      </c>
      <c r="S90">
        <v>22.6</v>
      </c>
      <c r="T90" s="1">
        <v>16</v>
      </c>
      <c r="U90" s="1">
        <v>1</v>
      </c>
      <c r="V90">
        <v>2616</v>
      </c>
      <c r="W90">
        <v>10</v>
      </c>
      <c r="Y90">
        <v>69</v>
      </c>
      <c r="Z90" s="28">
        <f t="shared" si="28"/>
        <v>0</v>
      </c>
      <c r="AA90" s="28">
        <f t="shared" si="29"/>
        <v>0</v>
      </c>
      <c r="AB90" s="28">
        <f t="shared" si="30"/>
        <v>6.9</v>
      </c>
      <c r="AC90" s="28">
        <f t="shared" si="31"/>
        <v>0</v>
      </c>
      <c r="AD90" s="28">
        <f t="shared" si="32"/>
        <v>0</v>
      </c>
      <c r="AE90">
        <f t="shared" si="21"/>
        <v>0</v>
      </c>
      <c r="AF90">
        <f t="shared" si="22"/>
        <v>0</v>
      </c>
      <c r="AG90">
        <f t="shared" si="23"/>
        <v>1</v>
      </c>
      <c r="AH90">
        <f t="shared" si="24"/>
        <v>0</v>
      </c>
      <c r="AI90">
        <f t="shared" si="25"/>
        <v>0</v>
      </c>
      <c r="AJ90">
        <v>0</v>
      </c>
      <c r="AK90">
        <v>0</v>
      </c>
      <c r="AL90">
        <v>69</v>
      </c>
      <c r="AM90">
        <v>0</v>
      </c>
      <c r="AN90">
        <v>0</v>
      </c>
      <c r="AO90" s="22">
        <f t="shared" si="33"/>
        <v>0</v>
      </c>
      <c r="AP90" s="22">
        <f t="shared" si="34"/>
        <v>0</v>
      </c>
      <c r="AQ90" s="22">
        <f t="shared" si="35"/>
        <v>4.2484952420493594</v>
      </c>
      <c r="AR90" s="22">
        <f t="shared" si="36"/>
        <v>0</v>
      </c>
      <c r="AS90" s="22">
        <f t="shared" si="37"/>
        <v>0</v>
      </c>
    </row>
    <row r="91" spans="1:45" x14ac:dyDescent="0.25">
      <c r="A91" s="1" t="s">
        <v>7</v>
      </c>
      <c r="B91" s="2">
        <v>40730</v>
      </c>
      <c r="C91">
        <v>187</v>
      </c>
      <c r="D91" s="1">
        <v>2011</v>
      </c>
      <c r="E91">
        <v>4</v>
      </c>
      <c r="F91" s="1">
        <v>57850</v>
      </c>
      <c r="G91" s="44">
        <f t="shared" si="27"/>
        <v>1</v>
      </c>
      <c r="H91" s="6">
        <v>42.07255</v>
      </c>
      <c r="I91" s="6">
        <v>-81.261032999999998</v>
      </c>
      <c r="J91">
        <v>42.566916666666664</v>
      </c>
      <c r="K91">
        <v>-81.47208333333333</v>
      </c>
      <c r="L91">
        <v>41.819366666666667</v>
      </c>
      <c r="M91">
        <v>-81.155166666666673</v>
      </c>
      <c r="N91" s="22">
        <f t="shared" si="38"/>
        <v>0.53753199375592486</v>
      </c>
      <c r="O91" s="22">
        <f t="shared" si="39"/>
        <v>0.27442572913489699</v>
      </c>
      <c r="P91" s="22">
        <f t="shared" si="26"/>
        <v>0.27442572913489699</v>
      </c>
      <c r="S91">
        <v>22</v>
      </c>
      <c r="T91" s="1">
        <v>11</v>
      </c>
      <c r="U91" s="1">
        <v>0</v>
      </c>
      <c r="V91">
        <v>2713</v>
      </c>
      <c r="W91">
        <v>10</v>
      </c>
      <c r="Y91">
        <v>12</v>
      </c>
      <c r="Z91" s="28">
        <f t="shared" si="28"/>
        <v>0</v>
      </c>
      <c r="AA91" s="28">
        <f t="shared" si="29"/>
        <v>1.1000000000000001</v>
      </c>
      <c r="AB91" s="28">
        <f t="shared" si="30"/>
        <v>0</v>
      </c>
      <c r="AC91" s="28">
        <f t="shared" si="31"/>
        <v>0</v>
      </c>
      <c r="AD91" s="28">
        <f t="shared" si="32"/>
        <v>0.1</v>
      </c>
      <c r="AE91">
        <f t="shared" si="21"/>
        <v>0</v>
      </c>
      <c r="AF91">
        <f t="shared" si="22"/>
        <v>0.91666666666666663</v>
      </c>
      <c r="AG91">
        <f t="shared" si="23"/>
        <v>0</v>
      </c>
      <c r="AH91">
        <f t="shared" si="24"/>
        <v>0</v>
      </c>
      <c r="AI91">
        <f t="shared" si="25"/>
        <v>8.3333333333333329E-2</v>
      </c>
      <c r="AJ91">
        <v>0</v>
      </c>
      <c r="AK91">
        <v>11</v>
      </c>
      <c r="AL91">
        <v>0</v>
      </c>
      <c r="AM91">
        <v>0</v>
      </c>
      <c r="AN91">
        <v>1</v>
      </c>
      <c r="AO91" s="22">
        <f t="shared" si="33"/>
        <v>0</v>
      </c>
      <c r="AP91" s="22">
        <f t="shared" si="34"/>
        <v>2.4849066497880004</v>
      </c>
      <c r="AQ91" s="22">
        <f t="shared" si="35"/>
        <v>0</v>
      </c>
      <c r="AR91" s="22">
        <f t="shared" si="36"/>
        <v>0</v>
      </c>
      <c r="AS91" s="22">
        <f t="shared" si="37"/>
        <v>0.69314718055994529</v>
      </c>
    </row>
    <row r="92" spans="1:45" x14ac:dyDescent="0.25">
      <c r="A92" s="1" t="s">
        <v>8</v>
      </c>
      <c r="B92" s="34">
        <v>40730</v>
      </c>
      <c r="C92" s="38">
        <v>187</v>
      </c>
      <c r="D92" s="1">
        <v>2011</v>
      </c>
      <c r="E92">
        <v>730</v>
      </c>
      <c r="F92" s="1">
        <v>57725</v>
      </c>
      <c r="G92" s="44">
        <f t="shared" si="27"/>
        <v>1</v>
      </c>
      <c r="H92" s="14">
        <v>42.073700000000002</v>
      </c>
      <c r="I92" s="14">
        <v>-81.506699999999995</v>
      </c>
      <c r="J92">
        <v>42.424050000000001</v>
      </c>
      <c r="K92">
        <v>-81.688833333333335</v>
      </c>
      <c r="L92">
        <v>41.758499999999998</v>
      </c>
      <c r="M92">
        <v>-81.356416666666661</v>
      </c>
      <c r="N92" s="22">
        <f t="shared" si="38"/>
        <v>0.39486412044032654</v>
      </c>
      <c r="O92" s="22">
        <f t="shared" si="39"/>
        <v>0.34919352840191753</v>
      </c>
      <c r="P92" s="22">
        <f t="shared" si="26"/>
        <v>0.34919352840191753</v>
      </c>
      <c r="Q92" s="37"/>
      <c r="R92" s="36"/>
      <c r="S92" s="35">
        <v>24.0792</v>
      </c>
      <c r="T92" s="1">
        <v>15</v>
      </c>
      <c r="U92" s="1">
        <v>1</v>
      </c>
      <c r="V92">
        <v>2610</v>
      </c>
      <c r="W92" s="38">
        <v>20</v>
      </c>
      <c r="X92" s="39">
        <v>1.8</v>
      </c>
      <c r="Y92">
        <v>771</v>
      </c>
      <c r="Z92" s="28">
        <f t="shared" si="28"/>
        <v>0</v>
      </c>
      <c r="AA92" s="28">
        <f t="shared" si="29"/>
        <v>0</v>
      </c>
      <c r="AB92" s="28">
        <f t="shared" si="30"/>
        <v>38.5</v>
      </c>
      <c r="AC92" s="28">
        <f t="shared" si="31"/>
        <v>0</v>
      </c>
      <c r="AD92" s="28">
        <f t="shared" si="32"/>
        <v>0</v>
      </c>
      <c r="AE92">
        <f t="shared" si="21"/>
        <v>0</v>
      </c>
      <c r="AF92">
        <f t="shared" si="22"/>
        <v>0</v>
      </c>
      <c r="AG92">
        <f t="shared" si="23"/>
        <v>0.99870298313878081</v>
      </c>
      <c r="AH92">
        <f t="shared" si="24"/>
        <v>0</v>
      </c>
      <c r="AI92">
        <f t="shared" si="25"/>
        <v>0</v>
      </c>
      <c r="AJ92">
        <v>0</v>
      </c>
      <c r="AK92">
        <v>0</v>
      </c>
      <c r="AL92">
        <v>770</v>
      </c>
      <c r="AM92">
        <v>0</v>
      </c>
      <c r="AN92">
        <v>0</v>
      </c>
      <c r="AO92" s="22">
        <f t="shared" si="33"/>
        <v>0</v>
      </c>
      <c r="AP92" s="22">
        <f t="shared" si="34"/>
        <v>0</v>
      </c>
      <c r="AQ92" s="22">
        <f t="shared" si="35"/>
        <v>6.6476883735633292</v>
      </c>
      <c r="AR92" s="22">
        <f t="shared" si="36"/>
        <v>0</v>
      </c>
      <c r="AS92" s="22">
        <f t="shared" si="37"/>
        <v>0</v>
      </c>
    </row>
    <row r="93" spans="1:45" x14ac:dyDescent="0.25">
      <c r="A93" s="1" t="s">
        <v>8</v>
      </c>
      <c r="B93" s="34">
        <v>40730</v>
      </c>
      <c r="C93" s="38">
        <v>187</v>
      </c>
      <c r="D93" s="1">
        <v>2011</v>
      </c>
      <c r="E93">
        <v>731</v>
      </c>
      <c r="F93" s="1">
        <v>57725</v>
      </c>
      <c r="G93" s="44">
        <f t="shared" si="27"/>
        <v>1</v>
      </c>
      <c r="H93" s="14">
        <v>41.966299999999997</v>
      </c>
      <c r="I93" s="14">
        <v>-81.454800000000006</v>
      </c>
      <c r="J93">
        <v>42.424050000000001</v>
      </c>
      <c r="K93">
        <v>-81.688833333333335</v>
      </c>
      <c r="L93">
        <v>41.758499999999998</v>
      </c>
      <c r="M93">
        <v>-81.356416666666661</v>
      </c>
      <c r="N93" s="22">
        <f t="shared" si="38"/>
        <v>0.51410763815675131</v>
      </c>
      <c r="O93" s="22">
        <f t="shared" si="39"/>
        <v>0.22991328860633439</v>
      </c>
      <c r="P93" s="22">
        <f t="shared" si="26"/>
        <v>0.22991328860633439</v>
      </c>
      <c r="Q93" s="37">
        <v>22.61</v>
      </c>
      <c r="R93" s="36">
        <v>8.84</v>
      </c>
      <c r="S93" s="35">
        <v>22.86</v>
      </c>
      <c r="T93" s="1">
        <v>17</v>
      </c>
      <c r="U93" s="1">
        <v>1</v>
      </c>
      <c r="V93">
        <v>2743</v>
      </c>
      <c r="W93" s="38">
        <v>20</v>
      </c>
      <c r="X93" s="39">
        <v>1.8</v>
      </c>
      <c r="Y93">
        <v>919</v>
      </c>
      <c r="Z93" s="28">
        <f t="shared" si="28"/>
        <v>0</v>
      </c>
      <c r="AA93" s="28">
        <f t="shared" si="29"/>
        <v>0</v>
      </c>
      <c r="AB93" s="28">
        <f t="shared" si="30"/>
        <v>45.75</v>
      </c>
      <c r="AC93" s="28">
        <f t="shared" si="31"/>
        <v>0.1</v>
      </c>
      <c r="AD93" s="28">
        <f t="shared" si="32"/>
        <v>0</v>
      </c>
      <c r="AE93">
        <f t="shared" si="21"/>
        <v>0</v>
      </c>
      <c r="AF93">
        <f t="shared" si="22"/>
        <v>0</v>
      </c>
      <c r="AG93">
        <f t="shared" si="23"/>
        <v>0.99564744287268769</v>
      </c>
      <c r="AH93">
        <f t="shared" si="24"/>
        <v>2.176278563656148E-3</v>
      </c>
      <c r="AI93">
        <f t="shared" si="25"/>
        <v>0</v>
      </c>
      <c r="AJ93">
        <v>0</v>
      </c>
      <c r="AK93">
        <v>0</v>
      </c>
      <c r="AL93">
        <v>915</v>
      </c>
      <c r="AM93">
        <v>2</v>
      </c>
      <c r="AN93">
        <v>0</v>
      </c>
      <c r="AO93" s="22">
        <f t="shared" si="33"/>
        <v>0</v>
      </c>
      <c r="AP93" s="22">
        <f t="shared" si="34"/>
        <v>0</v>
      </c>
      <c r="AQ93" s="22">
        <f t="shared" si="35"/>
        <v>6.8200163646741299</v>
      </c>
      <c r="AR93" s="22">
        <f t="shared" si="36"/>
        <v>1.0986122886681098</v>
      </c>
      <c r="AS93" s="22">
        <f t="shared" si="37"/>
        <v>0</v>
      </c>
    </row>
    <row r="94" spans="1:45" x14ac:dyDescent="0.25">
      <c r="A94" s="1" t="s">
        <v>8</v>
      </c>
      <c r="B94" s="34">
        <v>40730</v>
      </c>
      <c r="C94" s="38">
        <v>187</v>
      </c>
      <c r="D94" s="1">
        <v>2011</v>
      </c>
      <c r="E94">
        <v>732</v>
      </c>
      <c r="F94" s="1">
        <v>57725</v>
      </c>
      <c r="G94" s="44">
        <f t="shared" si="27"/>
        <v>1</v>
      </c>
      <c r="H94" s="14">
        <v>41.8825</v>
      </c>
      <c r="I94" s="14">
        <v>-81.417699999999996</v>
      </c>
      <c r="J94">
        <v>42.424050000000001</v>
      </c>
      <c r="K94">
        <v>-81.688833333333335</v>
      </c>
      <c r="L94">
        <v>41.758499999999998</v>
      </c>
      <c r="M94">
        <v>-81.356416666666661</v>
      </c>
      <c r="N94" s="22">
        <f t="shared" si="38"/>
        <v>0.60563164295176009</v>
      </c>
      <c r="O94" s="22">
        <f t="shared" si="39"/>
        <v>0.1383171968500132</v>
      </c>
      <c r="P94" s="22">
        <f t="shared" si="26"/>
        <v>0.1383171968500132</v>
      </c>
      <c r="Q94" s="37">
        <v>22.14</v>
      </c>
      <c r="R94" s="36">
        <v>20.77</v>
      </c>
      <c r="S94" s="35">
        <v>21.031200000000002</v>
      </c>
      <c r="T94" s="1">
        <v>8</v>
      </c>
      <c r="U94" s="1">
        <v>0</v>
      </c>
      <c r="V94">
        <v>2911</v>
      </c>
      <c r="W94" s="38">
        <v>20</v>
      </c>
      <c r="X94" s="39">
        <v>1.8</v>
      </c>
      <c r="Y94">
        <v>17</v>
      </c>
      <c r="Z94" s="28">
        <f t="shared" si="28"/>
        <v>0</v>
      </c>
      <c r="AA94" s="28">
        <f t="shared" si="29"/>
        <v>0</v>
      </c>
      <c r="AB94" s="28">
        <f t="shared" si="30"/>
        <v>0.85</v>
      </c>
      <c r="AC94" s="28">
        <f t="shared" si="31"/>
        <v>0</v>
      </c>
      <c r="AD94" s="28">
        <f t="shared" si="32"/>
        <v>0</v>
      </c>
      <c r="AE94">
        <f t="shared" si="21"/>
        <v>0</v>
      </c>
      <c r="AF94">
        <f t="shared" si="22"/>
        <v>0</v>
      </c>
      <c r="AG94">
        <f t="shared" si="23"/>
        <v>1</v>
      </c>
      <c r="AH94">
        <f t="shared" si="24"/>
        <v>0</v>
      </c>
      <c r="AI94">
        <f t="shared" si="25"/>
        <v>0</v>
      </c>
      <c r="AJ94">
        <v>0</v>
      </c>
      <c r="AK94">
        <v>0</v>
      </c>
      <c r="AL94">
        <v>17</v>
      </c>
      <c r="AM94">
        <v>0</v>
      </c>
      <c r="AN94">
        <v>0</v>
      </c>
      <c r="AO94" s="22">
        <f t="shared" si="33"/>
        <v>0</v>
      </c>
      <c r="AP94" s="22">
        <f t="shared" si="34"/>
        <v>0</v>
      </c>
      <c r="AQ94" s="22">
        <f t="shared" si="35"/>
        <v>2.8903717578961645</v>
      </c>
      <c r="AR94" s="22">
        <f t="shared" si="36"/>
        <v>0</v>
      </c>
      <c r="AS94" s="22">
        <f t="shared" si="37"/>
        <v>0</v>
      </c>
    </row>
    <row r="95" spans="1:45" x14ac:dyDescent="0.25">
      <c r="A95" s="1" t="s">
        <v>8</v>
      </c>
      <c r="B95" s="34">
        <v>40731</v>
      </c>
      <c r="C95">
        <v>188</v>
      </c>
      <c r="D95" s="1">
        <v>2011</v>
      </c>
      <c r="E95">
        <v>733</v>
      </c>
      <c r="F95" s="1">
        <v>57975</v>
      </c>
      <c r="G95" s="44">
        <f t="shared" si="27"/>
        <v>1</v>
      </c>
      <c r="H95" s="14">
        <v>41.9208</v>
      </c>
      <c r="I95" s="14">
        <v>-80.970299999999995</v>
      </c>
      <c r="J95">
        <v>42.612716666666664</v>
      </c>
      <c r="K95">
        <v>-81.313883333333337</v>
      </c>
      <c r="L95">
        <v>41.874783333333333</v>
      </c>
      <c r="M95">
        <v>-80.945083333333329</v>
      </c>
      <c r="N95" s="22">
        <f t="shared" si="38"/>
        <v>0.77252713904144354</v>
      </c>
      <c r="O95" s="22">
        <f t="shared" si="39"/>
        <v>5.2472982466111213E-2</v>
      </c>
      <c r="P95" s="22">
        <f t="shared" si="26"/>
        <v>5.2472982466111213E-2</v>
      </c>
      <c r="Q95" s="37">
        <v>23</v>
      </c>
      <c r="R95" s="36">
        <v>20.3</v>
      </c>
      <c r="S95" s="35">
        <v>17.0688</v>
      </c>
      <c r="T95" s="1">
        <v>9</v>
      </c>
      <c r="U95" s="1">
        <v>0</v>
      </c>
      <c r="V95">
        <v>2158</v>
      </c>
      <c r="W95" s="38">
        <v>20</v>
      </c>
      <c r="X95" s="39">
        <v>1.8</v>
      </c>
      <c r="Y95">
        <v>75</v>
      </c>
      <c r="Z95" s="28">
        <f t="shared" si="28"/>
        <v>0</v>
      </c>
      <c r="AA95" s="28">
        <f t="shared" si="29"/>
        <v>0</v>
      </c>
      <c r="AB95" s="28">
        <f t="shared" si="30"/>
        <v>0.7</v>
      </c>
      <c r="AC95" s="28">
        <f t="shared" si="31"/>
        <v>0</v>
      </c>
      <c r="AD95" s="28">
        <f t="shared" si="32"/>
        <v>0</v>
      </c>
      <c r="AE95">
        <f t="shared" si="21"/>
        <v>0</v>
      </c>
      <c r="AF95">
        <f t="shared" si="22"/>
        <v>0</v>
      </c>
      <c r="AG95">
        <f t="shared" si="23"/>
        <v>0.18666666666666668</v>
      </c>
      <c r="AH95">
        <f t="shared" si="24"/>
        <v>0</v>
      </c>
      <c r="AI95">
        <f t="shared" si="25"/>
        <v>0</v>
      </c>
      <c r="AJ95">
        <v>0</v>
      </c>
      <c r="AK95">
        <v>0</v>
      </c>
      <c r="AL95">
        <v>14</v>
      </c>
      <c r="AM95">
        <v>0</v>
      </c>
      <c r="AN95">
        <v>0</v>
      </c>
      <c r="AO95" s="22">
        <f t="shared" si="33"/>
        <v>0</v>
      </c>
      <c r="AP95" s="22">
        <f t="shared" si="34"/>
        <v>0</v>
      </c>
      <c r="AQ95" s="22">
        <f t="shared" si="35"/>
        <v>2.7080502011022101</v>
      </c>
      <c r="AR95" s="22">
        <f t="shared" si="36"/>
        <v>0</v>
      </c>
      <c r="AS95" s="22">
        <f t="shared" si="37"/>
        <v>0</v>
      </c>
    </row>
    <row r="96" spans="1:45" x14ac:dyDescent="0.25">
      <c r="A96" s="1" t="s">
        <v>8</v>
      </c>
      <c r="B96" s="34">
        <v>40731</v>
      </c>
      <c r="C96">
        <v>188</v>
      </c>
      <c r="D96" s="1">
        <v>2011</v>
      </c>
      <c r="E96">
        <v>734</v>
      </c>
      <c r="F96" s="1">
        <v>57975</v>
      </c>
      <c r="G96" s="44">
        <f t="shared" si="27"/>
        <v>1</v>
      </c>
      <c r="H96" s="14">
        <v>42.022799999999997</v>
      </c>
      <c r="I96" s="14">
        <v>-81.017700000000005</v>
      </c>
      <c r="J96">
        <v>42.612716666666664</v>
      </c>
      <c r="K96">
        <v>-81.313883333333337</v>
      </c>
      <c r="L96">
        <v>41.874783333333333</v>
      </c>
      <c r="M96">
        <v>-80.945083333333329</v>
      </c>
      <c r="N96" s="22">
        <f t="shared" si="38"/>
        <v>0.66009562985642878</v>
      </c>
      <c r="O96" s="22">
        <f t="shared" si="39"/>
        <v>0.16486999086822687</v>
      </c>
      <c r="P96" s="22">
        <f t="shared" si="26"/>
        <v>0.16486999086822687</v>
      </c>
      <c r="Q96" s="37">
        <v>22.4</v>
      </c>
      <c r="R96" s="36">
        <v>9.6</v>
      </c>
      <c r="S96" s="35">
        <v>21.945600000000002</v>
      </c>
      <c r="T96" s="1">
        <v>17</v>
      </c>
      <c r="U96" s="1">
        <v>1</v>
      </c>
      <c r="V96">
        <v>2335</v>
      </c>
      <c r="W96" s="38">
        <v>20</v>
      </c>
      <c r="X96" s="39">
        <v>1.8</v>
      </c>
      <c r="Y96">
        <v>1677</v>
      </c>
      <c r="Z96" s="28">
        <f t="shared" si="28"/>
        <v>0</v>
      </c>
      <c r="AA96" s="28">
        <f t="shared" si="29"/>
        <v>0</v>
      </c>
      <c r="AB96" s="28">
        <f t="shared" si="30"/>
        <v>83.65</v>
      </c>
      <c r="AC96" s="28">
        <f t="shared" si="31"/>
        <v>0</v>
      </c>
      <c r="AD96" s="28">
        <f t="shared" si="32"/>
        <v>0</v>
      </c>
      <c r="AE96">
        <f t="shared" si="21"/>
        <v>0</v>
      </c>
      <c r="AF96">
        <f t="shared" si="22"/>
        <v>0</v>
      </c>
      <c r="AG96">
        <f t="shared" si="23"/>
        <v>0.99761478831246275</v>
      </c>
      <c r="AH96">
        <f t="shared" si="24"/>
        <v>0</v>
      </c>
      <c r="AI96">
        <f t="shared" si="25"/>
        <v>0</v>
      </c>
      <c r="AJ96">
        <v>0</v>
      </c>
      <c r="AK96">
        <v>0</v>
      </c>
      <c r="AL96">
        <v>1673</v>
      </c>
      <c r="AM96">
        <v>0</v>
      </c>
      <c r="AN96">
        <v>0</v>
      </c>
      <c r="AO96" s="22">
        <f t="shared" si="33"/>
        <v>0</v>
      </c>
      <c r="AP96" s="22">
        <f t="shared" si="34"/>
        <v>0</v>
      </c>
      <c r="AQ96" s="22">
        <f t="shared" si="35"/>
        <v>7.4229712510494208</v>
      </c>
      <c r="AR96" s="22">
        <f t="shared" si="36"/>
        <v>0</v>
      </c>
      <c r="AS96" s="22">
        <f t="shared" si="37"/>
        <v>0</v>
      </c>
    </row>
    <row r="97" spans="1:45" x14ac:dyDescent="0.25">
      <c r="A97" s="1" t="s">
        <v>8</v>
      </c>
      <c r="B97" s="34">
        <v>40732</v>
      </c>
      <c r="C97">
        <v>189</v>
      </c>
      <c r="D97" s="1">
        <v>2011</v>
      </c>
      <c r="E97">
        <v>735</v>
      </c>
      <c r="F97" s="1">
        <v>57975</v>
      </c>
      <c r="G97" s="44">
        <f t="shared" si="27"/>
        <v>1</v>
      </c>
      <c r="H97" s="14">
        <v>42.081000000000003</v>
      </c>
      <c r="I97" s="14">
        <v>-81.047300000000007</v>
      </c>
      <c r="J97">
        <v>42.612716666666664</v>
      </c>
      <c r="K97">
        <v>-81.313883333333337</v>
      </c>
      <c r="L97">
        <v>41.874783333333333</v>
      </c>
      <c r="M97">
        <v>-80.945083333333329</v>
      </c>
      <c r="N97" s="22">
        <f t="shared" si="38"/>
        <v>0.59480188905400599</v>
      </c>
      <c r="O97" s="22">
        <f t="shared" si="39"/>
        <v>0.23015985869729569</v>
      </c>
      <c r="P97" s="22">
        <f t="shared" si="26"/>
        <v>0.23015985869729569</v>
      </c>
      <c r="Q97" s="37">
        <v>22.6</v>
      </c>
      <c r="R97" s="36">
        <v>19.2</v>
      </c>
      <c r="S97" s="35">
        <v>20.421600000000002</v>
      </c>
      <c r="T97" s="1">
        <v>14</v>
      </c>
      <c r="U97" s="1">
        <v>1</v>
      </c>
      <c r="V97">
        <v>2455</v>
      </c>
      <c r="W97" s="38">
        <v>20</v>
      </c>
      <c r="X97" s="39">
        <v>1.8</v>
      </c>
      <c r="Y97">
        <v>585</v>
      </c>
      <c r="Z97" s="28">
        <f t="shared" si="28"/>
        <v>0</v>
      </c>
      <c r="AA97" s="28">
        <f t="shared" si="29"/>
        <v>0</v>
      </c>
      <c r="AB97" s="28">
        <f t="shared" si="30"/>
        <v>29.2</v>
      </c>
      <c r="AC97" s="28">
        <f t="shared" si="31"/>
        <v>0</v>
      </c>
      <c r="AD97" s="28">
        <f t="shared" si="32"/>
        <v>0</v>
      </c>
      <c r="AE97">
        <f t="shared" si="21"/>
        <v>0</v>
      </c>
      <c r="AF97">
        <f t="shared" si="22"/>
        <v>0</v>
      </c>
      <c r="AG97">
        <f t="shared" si="23"/>
        <v>0.9982905982905983</v>
      </c>
      <c r="AH97">
        <f t="shared" si="24"/>
        <v>0</v>
      </c>
      <c r="AI97">
        <f t="shared" si="25"/>
        <v>0</v>
      </c>
      <c r="AJ97">
        <v>0</v>
      </c>
      <c r="AK97">
        <v>0</v>
      </c>
      <c r="AL97">
        <v>584</v>
      </c>
      <c r="AM97">
        <v>0</v>
      </c>
      <c r="AN97">
        <v>0</v>
      </c>
      <c r="AO97" s="22">
        <f t="shared" si="33"/>
        <v>0</v>
      </c>
      <c r="AP97" s="22">
        <f t="shared" si="34"/>
        <v>0</v>
      </c>
      <c r="AQ97" s="22">
        <f t="shared" si="35"/>
        <v>6.3716118472318568</v>
      </c>
      <c r="AR97" s="22">
        <f t="shared" si="36"/>
        <v>0</v>
      </c>
      <c r="AS97" s="22">
        <f t="shared" si="37"/>
        <v>0</v>
      </c>
    </row>
    <row r="98" spans="1:45" x14ac:dyDescent="0.25">
      <c r="A98" t="s">
        <v>10</v>
      </c>
      <c r="B98" s="2">
        <v>40729</v>
      </c>
      <c r="C98">
        <v>186</v>
      </c>
      <c r="D98" s="1">
        <v>2011</v>
      </c>
      <c r="E98" s="5">
        <v>1001</v>
      </c>
      <c r="F98" s="1">
        <v>58100</v>
      </c>
      <c r="G98" s="44">
        <f t="shared" si="27"/>
        <v>1</v>
      </c>
      <c r="H98" s="6">
        <v>42.392666666666663</v>
      </c>
      <c r="I98" s="6">
        <v>-80.916499999999999</v>
      </c>
      <c r="J98">
        <v>42.632766666666669</v>
      </c>
      <c r="K98">
        <v>-81.01636666666667</v>
      </c>
      <c r="L98">
        <v>41.96221666666667</v>
      </c>
      <c r="M98">
        <v>-80.744650000000007</v>
      </c>
      <c r="N98" s="22">
        <f t="shared" si="38"/>
        <v>0.26004107581517671</v>
      </c>
      <c r="O98" s="22">
        <f t="shared" si="39"/>
        <v>0.46348638059816982</v>
      </c>
      <c r="P98" s="22">
        <f t="shared" si="26"/>
        <v>0.26004107581517671</v>
      </c>
      <c r="Q98" s="5">
        <v>21.9</v>
      </c>
      <c r="R98" s="5">
        <v>8.51</v>
      </c>
      <c r="S98" s="5">
        <v>21.2</v>
      </c>
      <c r="T98" s="1">
        <v>15</v>
      </c>
      <c r="U98" s="1">
        <v>1</v>
      </c>
      <c r="V98" s="5">
        <v>2156</v>
      </c>
      <c r="W98" s="5">
        <v>20</v>
      </c>
      <c r="X98" s="5">
        <v>1.04</v>
      </c>
      <c r="Y98">
        <v>151</v>
      </c>
      <c r="Z98" s="28">
        <f t="shared" si="28"/>
        <v>0</v>
      </c>
      <c r="AA98" s="28">
        <f t="shared" si="29"/>
        <v>0</v>
      </c>
      <c r="AB98" s="28">
        <f t="shared" si="30"/>
        <v>7.55</v>
      </c>
      <c r="AC98" s="28">
        <f t="shared" si="31"/>
        <v>0</v>
      </c>
      <c r="AD98" s="28">
        <f t="shared" si="32"/>
        <v>0</v>
      </c>
      <c r="AE98">
        <f t="shared" si="21"/>
        <v>0</v>
      </c>
      <c r="AF98">
        <f t="shared" si="22"/>
        <v>0</v>
      </c>
      <c r="AG98">
        <f t="shared" si="23"/>
        <v>1</v>
      </c>
      <c r="AH98">
        <f t="shared" si="24"/>
        <v>0</v>
      </c>
      <c r="AI98">
        <f t="shared" si="25"/>
        <v>0</v>
      </c>
      <c r="AJ98">
        <v>0</v>
      </c>
      <c r="AK98">
        <v>0</v>
      </c>
      <c r="AL98">
        <v>151</v>
      </c>
      <c r="AM98">
        <v>0</v>
      </c>
      <c r="AN98">
        <v>0</v>
      </c>
      <c r="AO98" s="22">
        <f t="shared" si="33"/>
        <v>0</v>
      </c>
      <c r="AP98" s="22">
        <f t="shared" si="34"/>
        <v>0</v>
      </c>
      <c r="AQ98" s="22">
        <f t="shared" si="35"/>
        <v>5.0238805208462765</v>
      </c>
      <c r="AR98" s="22">
        <f t="shared" si="36"/>
        <v>0</v>
      </c>
      <c r="AS98" s="22">
        <f t="shared" si="37"/>
        <v>0</v>
      </c>
    </row>
    <row r="99" spans="1:45" x14ac:dyDescent="0.25">
      <c r="A99" t="s">
        <v>10</v>
      </c>
      <c r="B99" s="2">
        <v>40729</v>
      </c>
      <c r="C99">
        <v>186</v>
      </c>
      <c r="D99" s="1">
        <v>2011</v>
      </c>
      <c r="E99" s="5">
        <v>1002</v>
      </c>
      <c r="F99" s="1">
        <v>58100</v>
      </c>
      <c r="G99" s="44">
        <f t="shared" si="27"/>
        <v>1</v>
      </c>
      <c r="H99" s="6">
        <v>42.386666666666663</v>
      </c>
      <c r="I99" s="6">
        <v>-80.921833333333339</v>
      </c>
      <c r="J99">
        <v>42.632766666666669</v>
      </c>
      <c r="K99">
        <v>-81.01636666666667</v>
      </c>
      <c r="L99">
        <v>41.96221666666667</v>
      </c>
      <c r="M99">
        <v>-80.744650000000007</v>
      </c>
      <c r="N99" s="22">
        <f t="shared" si="38"/>
        <v>0.26363186664573268</v>
      </c>
      <c r="O99" s="22">
        <f t="shared" si="39"/>
        <v>0.45994753625941381</v>
      </c>
      <c r="P99" s="22">
        <f t="shared" si="26"/>
        <v>0.26363186664573268</v>
      </c>
      <c r="Q99" s="5">
        <v>21.9</v>
      </c>
      <c r="R99" s="5">
        <v>8.51</v>
      </c>
      <c r="S99" s="5">
        <v>21.2</v>
      </c>
      <c r="T99" s="1">
        <v>15</v>
      </c>
      <c r="U99" s="1">
        <v>1</v>
      </c>
      <c r="V99" s="5">
        <v>2243</v>
      </c>
      <c r="W99" s="5">
        <v>20</v>
      </c>
      <c r="X99" s="5">
        <v>1</v>
      </c>
      <c r="Y99">
        <v>630</v>
      </c>
      <c r="Z99" s="28">
        <f t="shared" si="28"/>
        <v>0</v>
      </c>
      <c r="AA99" s="28">
        <f t="shared" si="29"/>
        <v>0</v>
      </c>
      <c r="AB99" s="28">
        <f t="shared" si="30"/>
        <v>31.05</v>
      </c>
      <c r="AC99" s="28">
        <f t="shared" si="31"/>
        <v>0.45</v>
      </c>
      <c r="AD99" s="28">
        <f t="shared" si="32"/>
        <v>0</v>
      </c>
      <c r="AE99">
        <f t="shared" si="21"/>
        <v>0</v>
      </c>
      <c r="AF99">
        <f t="shared" si="22"/>
        <v>0</v>
      </c>
      <c r="AG99">
        <f t="shared" si="23"/>
        <v>0.98571428571428577</v>
      </c>
      <c r="AH99">
        <f t="shared" si="24"/>
        <v>1.4285714285714285E-2</v>
      </c>
      <c r="AI99">
        <f t="shared" si="25"/>
        <v>0</v>
      </c>
      <c r="AJ99">
        <v>0</v>
      </c>
      <c r="AK99">
        <v>0</v>
      </c>
      <c r="AL99">
        <v>621</v>
      </c>
      <c r="AM99">
        <v>9</v>
      </c>
      <c r="AN99">
        <v>0</v>
      </c>
      <c r="AO99" s="22">
        <f t="shared" si="33"/>
        <v>0</v>
      </c>
      <c r="AP99" s="22">
        <f t="shared" si="34"/>
        <v>0</v>
      </c>
      <c r="AQ99" s="22">
        <f t="shared" si="35"/>
        <v>6.4329400927391793</v>
      </c>
      <c r="AR99" s="22">
        <f t="shared" si="36"/>
        <v>2.3025850929940459</v>
      </c>
      <c r="AS99" s="22">
        <f t="shared" si="37"/>
        <v>0</v>
      </c>
    </row>
    <row r="100" spans="1:45" x14ac:dyDescent="0.25">
      <c r="A100" t="s">
        <v>10</v>
      </c>
      <c r="B100" s="2">
        <v>40729</v>
      </c>
      <c r="C100">
        <v>186</v>
      </c>
      <c r="D100" s="1">
        <v>2011</v>
      </c>
      <c r="E100" s="5">
        <v>1003</v>
      </c>
      <c r="F100" s="1">
        <v>58100</v>
      </c>
      <c r="G100" s="44">
        <f t="shared" si="27"/>
        <v>1</v>
      </c>
      <c r="H100" s="6">
        <v>42.387</v>
      </c>
      <c r="I100" s="6">
        <v>-80.921499999999995</v>
      </c>
      <c r="J100">
        <v>42.632766666666669</v>
      </c>
      <c r="K100">
        <v>-81.01636666666667</v>
      </c>
      <c r="L100">
        <v>41.96221666666667</v>
      </c>
      <c r="M100">
        <v>-80.744650000000007</v>
      </c>
      <c r="N100" s="22">
        <f t="shared" si="38"/>
        <v>0.26344057942710969</v>
      </c>
      <c r="O100" s="22">
        <f t="shared" si="39"/>
        <v>0.46012694202553589</v>
      </c>
      <c r="P100" s="22">
        <f t="shared" si="26"/>
        <v>0.26344057942710969</v>
      </c>
      <c r="Q100" s="5">
        <v>21.9</v>
      </c>
      <c r="R100" s="5">
        <v>20.3</v>
      </c>
      <c r="S100" s="5">
        <v>21.2</v>
      </c>
      <c r="T100" s="1">
        <v>11</v>
      </c>
      <c r="U100" s="1">
        <v>0</v>
      </c>
      <c r="V100" s="5">
        <v>2324</v>
      </c>
      <c r="W100" s="5">
        <v>20</v>
      </c>
      <c r="X100" s="5">
        <v>1</v>
      </c>
      <c r="Y100">
        <v>43</v>
      </c>
      <c r="Z100" s="28">
        <f t="shared" si="28"/>
        <v>0</v>
      </c>
      <c r="AA100" s="28">
        <f t="shared" si="29"/>
        <v>0</v>
      </c>
      <c r="AB100" s="28">
        <f t="shared" si="30"/>
        <v>0.05</v>
      </c>
      <c r="AC100" s="28">
        <f t="shared" si="31"/>
        <v>2.0499999999999998</v>
      </c>
      <c r="AD100" s="28">
        <f t="shared" si="32"/>
        <v>0</v>
      </c>
      <c r="AE100">
        <f t="shared" si="21"/>
        <v>0</v>
      </c>
      <c r="AF100">
        <f t="shared" si="22"/>
        <v>0</v>
      </c>
      <c r="AG100">
        <f t="shared" si="23"/>
        <v>2.3255813953488372E-2</v>
      </c>
      <c r="AH100">
        <f t="shared" si="24"/>
        <v>0.95348837209302328</v>
      </c>
      <c r="AI100">
        <f t="shared" si="25"/>
        <v>0</v>
      </c>
      <c r="AJ100">
        <v>0</v>
      </c>
      <c r="AK100">
        <v>0</v>
      </c>
      <c r="AL100">
        <v>1</v>
      </c>
      <c r="AM100">
        <v>41</v>
      </c>
      <c r="AN100">
        <v>0</v>
      </c>
      <c r="AO100" s="22">
        <f t="shared" si="33"/>
        <v>0</v>
      </c>
      <c r="AP100" s="22">
        <f t="shared" si="34"/>
        <v>0</v>
      </c>
      <c r="AQ100" s="22">
        <f t="shared" si="35"/>
        <v>0.69314718055994529</v>
      </c>
      <c r="AR100" s="22">
        <f t="shared" si="36"/>
        <v>3.7376696182833684</v>
      </c>
      <c r="AS100" s="22">
        <f t="shared" si="37"/>
        <v>0</v>
      </c>
    </row>
    <row r="101" spans="1:45" x14ac:dyDescent="0.25">
      <c r="A101" t="s">
        <v>10</v>
      </c>
      <c r="B101" s="2">
        <v>40729</v>
      </c>
      <c r="C101">
        <v>186</v>
      </c>
      <c r="D101" s="1">
        <v>2011</v>
      </c>
      <c r="E101" s="5">
        <v>1004</v>
      </c>
      <c r="F101" s="1">
        <v>58100</v>
      </c>
      <c r="G101" s="44">
        <f t="shared" si="27"/>
        <v>1</v>
      </c>
      <c r="H101" s="6">
        <v>42.417333333333332</v>
      </c>
      <c r="I101" s="6">
        <v>-80.924833333333339</v>
      </c>
      <c r="J101">
        <v>42.632766666666669</v>
      </c>
      <c r="K101">
        <v>-81.01636666666667</v>
      </c>
      <c r="L101">
        <v>41.96221666666667</v>
      </c>
      <c r="M101">
        <v>-80.744650000000007</v>
      </c>
      <c r="N101" s="22">
        <f t="shared" si="38"/>
        <v>0.23407236535358741</v>
      </c>
      <c r="O101" s="22">
        <f t="shared" si="39"/>
        <v>0.48948668407719115</v>
      </c>
      <c r="P101" s="22">
        <f t="shared" si="26"/>
        <v>0.23407236535358741</v>
      </c>
      <c r="Q101" s="5">
        <v>21.9</v>
      </c>
      <c r="R101" s="5">
        <v>21.9</v>
      </c>
      <c r="S101" s="5">
        <v>21.5</v>
      </c>
      <c r="T101" s="1">
        <v>5</v>
      </c>
      <c r="U101" s="1">
        <v>0</v>
      </c>
      <c r="V101" s="5">
        <v>2404</v>
      </c>
      <c r="W101" s="5">
        <v>20</v>
      </c>
      <c r="X101" s="5">
        <v>0.96</v>
      </c>
      <c r="Y101">
        <v>17</v>
      </c>
      <c r="Z101" s="28">
        <f t="shared" si="28"/>
        <v>0</v>
      </c>
      <c r="AA101" s="28">
        <f t="shared" si="29"/>
        <v>0</v>
      </c>
      <c r="AB101" s="28">
        <f t="shared" si="30"/>
        <v>0</v>
      </c>
      <c r="AC101" s="28">
        <f t="shared" si="31"/>
        <v>0.85</v>
      </c>
      <c r="AD101" s="28">
        <f t="shared" si="32"/>
        <v>0</v>
      </c>
      <c r="AE101">
        <f t="shared" si="21"/>
        <v>0</v>
      </c>
      <c r="AF101">
        <f t="shared" si="22"/>
        <v>0</v>
      </c>
      <c r="AG101">
        <f t="shared" si="23"/>
        <v>0</v>
      </c>
      <c r="AH101">
        <f t="shared" si="24"/>
        <v>1</v>
      </c>
      <c r="AI101">
        <f t="shared" si="25"/>
        <v>0</v>
      </c>
      <c r="AJ101">
        <v>0</v>
      </c>
      <c r="AK101">
        <v>0</v>
      </c>
      <c r="AL101">
        <v>0</v>
      </c>
      <c r="AM101">
        <v>17</v>
      </c>
      <c r="AN101">
        <v>0</v>
      </c>
      <c r="AO101" s="22">
        <f t="shared" si="33"/>
        <v>0</v>
      </c>
      <c r="AP101" s="22">
        <f t="shared" si="34"/>
        <v>0</v>
      </c>
      <c r="AQ101" s="22">
        <f t="shared" si="35"/>
        <v>0</v>
      </c>
      <c r="AR101" s="22">
        <f t="shared" si="36"/>
        <v>2.8903717578961645</v>
      </c>
      <c r="AS101" s="22">
        <f t="shared" si="37"/>
        <v>0</v>
      </c>
    </row>
    <row r="102" spans="1:45" x14ac:dyDescent="0.25">
      <c r="A102" t="s">
        <v>10</v>
      </c>
      <c r="B102" s="2">
        <v>40729</v>
      </c>
      <c r="C102">
        <v>186</v>
      </c>
      <c r="D102" s="1">
        <v>2011</v>
      </c>
      <c r="E102" s="5">
        <v>1005</v>
      </c>
      <c r="F102" s="1">
        <v>58100</v>
      </c>
      <c r="G102" s="44">
        <f t="shared" si="27"/>
        <v>1</v>
      </c>
      <c r="H102" s="6">
        <v>42.567500000000003</v>
      </c>
      <c r="I102" s="6">
        <v>-80.984666666666669</v>
      </c>
      <c r="J102">
        <v>42.632766666666669</v>
      </c>
      <c r="K102">
        <v>-81.01636666666667</v>
      </c>
      <c r="L102">
        <v>41.96221666666667</v>
      </c>
      <c r="M102">
        <v>-80.744650000000007</v>
      </c>
      <c r="N102" s="22">
        <f t="shared" si="38"/>
        <v>7.255775477354405E-2</v>
      </c>
      <c r="O102" s="22">
        <f t="shared" si="39"/>
        <v>0.65113432860576903</v>
      </c>
      <c r="P102" s="22">
        <f t="shared" si="26"/>
        <v>7.255775477354405E-2</v>
      </c>
      <c r="Q102" s="5">
        <v>20.9</v>
      </c>
      <c r="R102" s="5">
        <v>14.2</v>
      </c>
      <c r="S102" s="5">
        <v>17.5</v>
      </c>
      <c r="T102" s="1">
        <v>9</v>
      </c>
      <c r="U102" s="1">
        <v>0</v>
      </c>
      <c r="V102" s="5">
        <v>2540</v>
      </c>
      <c r="W102" s="5">
        <v>20</v>
      </c>
      <c r="X102" s="5">
        <v>0.92</v>
      </c>
      <c r="Y102">
        <v>823</v>
      </c>
      <c r="Z102" s="28">
        <f t="shared" si="28"/>
        <v>0</v>
      </c>
      <c r="AA102" s="28">
        <f t="shared" si="29"/>
        <v>0</v>
      </c>
      <c r="AB102" s="28">
        <f t="shared" si="30"/>
        <v>4.2</v>
      </c>
      <c r="AC102" s="28">
        <f t="shared" si="31"/>
        <v>36.799999999999997</v>
      </c>
      <c r="AD102" s="28">
        <f t="shared" si="32"/>
        <v>0</v>
      </c>
      <c r="AE102">
        <f t="shared" si="21"/>
        <v>0</v>
      </c>
      <c r="AF102">
        <f t="shared" si="22"/>
        <v>0</v>
      </c>
      <c r="AG102">
        <f t="shared" si="23"/>
        <v>0.10206561360874848</v>
      </c>
      <c r="AH102">
        <f t="shared" si="24"/>
        <v>0.89428918590522477</v>
      </c>
      <c r="AI102">
        <f t="shared" si="25"/>
        <v>0</v>
      </c>
      <c r="AJ102">
        <v>0</v>
      </c>
      <c r="AK102">
        <v>0</v>
      </c>
      <c r="AL102">
        <v>84</v>
      </c>
      <c r="AM102">
        <v>736</v>
      </c>
      <c r="AN102">
        <v>0</v>
      </c>
      <c r="AO102" s="22">
        <f t="shared" si="33"/>
        <v>0</v>
      </c>
      <c r="AP102" s="22">
        <f t="shared" si="34"/>
        <v>0</v>
      </c>
      <c r="AQ102" s="22">
        <f t="shared" si="35"/>
        <v>4.4426512564903167</v>
      </c>
      <c r="AR102" s="22">
        <f t="shared" si="36"/>
        <v>6.6025878921893364</v>
      </c>
      <c r="AS102" s="22">
        <f t="shared" si="37"/>
        <v>0</v>
      </c>
    </row>
    <row r="103" spans="1:45" x14ac:dyDescent="0.25">
      <c r="A103" t="s">
        <v>10</v>
      </c>
      <c r="B103" s="2">
        <v>40729</v>
      </c>
      <c r="C103">
        <v>186</v>
      </c>
      <c r="D103" s="1">
        <v>2011</v>
      </c>
      <c r="E103" s="5">
        <v>1006</v>
      </c>
      <c r="F103" s="1">
        <v>58100</v>
      </c>
      <c r="G103" s="44">
        <f t="shared" si="27"/>
        <v>1</v>
      </c>
      <c r="H103" s="6">
        <v>42.56883333333333</v>
      </c>
      <c r="I103" s="6">
        <v>-80.980999999999995</v>
      </c>
      <c r="J103">
        <v>42.632766666666669</v>
      </c>
      <c r="K103">
        <v>-81.01636666666667</v>
      </c>
      <c r="L103">
        <v>41.96221666666667</v>
      </c>
      <c r="M103">
        <v>-80.744650000000007</v>
      </c>
      <c r="N103" s="22">
        <f t="shared" si="38"/>
        <v>7.3063480769967937E-2</v>
      </c>
      <c r="O103" s="22">
        <f t="shared" si="39"/>
        <v>0.65103387221999764</v>
      </c>
      <c r="P103" s="22">
        <f t="shared" si="26"/>
        <v>7.3063480769967937E-2</v>
      </c>
      <c r="Q103" s="5">
        <v>20.9</v>
      </c>
      <c r="R103" s="5">
        <v>19.8</v>
      </c>
      <c r="S103" s="5">
        <v>16.899999999999999</v>
      </c>
      <c r="T103" s="1">
        <v>7</v>
      </c>
      <c r="U103" s="1">
        <v>0</v>
      </c>
      <c r="V103" s="5">
        <v>2624</v>
      </c>
      <c r="W103" s="5">
        <v>20</v>
      </c>
      <c r="X103" s="5">
        <v>0.9</v>
      </c>
      <c r="Y103">
        <v>1043</v>
      </c>
      <c r="Z103" s="28">
        <f t="shared" si="28"/>
        <v>0</v>
      </c>
      <c r="AA103" s="28">
        <f t="shared" si="29"/>
        <v>0</v>
      </c>
      <c r="AB103" s="28">
        <f t="shared" si="30"/>
        <v>0.05</v>
      </c>
      <c r="AC103" s="28">
        <f t="shared" si="31"/>
        <v>51.75</v>
      </c>
      <c r="AD103" s="28">
        <f t="shared" si="32"/>
        <v>0.05</v>
      </c>
      <c r="AE103">
        <f t="shared" si="21"/>
        <v>0</v>
      </c>
      <c r="AF103">
        <f t="shared" si="22"/>
        <v>0</v>
      </c>
      <c r="AG103">
        <f t="shared" si="23"/>
        <v>9.5877277085330771E-4</v>
      </c>
      <c r="AH103">
        <f t="shared" si="24"/>
        <v>0.99232981783317353</v>
      </c>
      <c r="AI103">
        <f t="shared" si="25"/>
        <v>9.5877277085330771E-4</v>
      </c>
      <c r="AJ103">
        <v>0</v>
      </c>
      <c r="AK103">
        <v>0</v>
      </c>
      <c r="AL103">
        <v>1</v>
      </c>
      <c r="AM103">
        <v>1035</v>
      </c>
      <c r="AN103">
        <v>1</v>
      </c>
      <c r="AO103" s="22">
        <f t="shared" si="33"/>
        <v>0</v>
      </c>
      <c r="AP103" s="22">
        <f t="shared" si="34"/>
        <v>0</v>
      </c>
      <c r="AQ103" s="22">
        <f t="shared" si="35"/>
        <v>0.69314718055994529</v>
      </c>
      <c r="AR103" s="22">
        <f t="shared" si="36"/>
        <v>6.9431224228194282</v>
      </c>
      <c r="AS103" s="22">
        <f t="shared" si="37"/>
        <v>0.69314718055994529</v>
      </c>
    </row>
    <row r="104" spans="1:45" x14ac:dyDescent="0.25">
      <c r="A104" t="s">
        <v>10</v>
      </c>
      <c r="B104" s="2">
        <v>40729</v>
      </c>
      <c r="C104">
        <v>186</v>
      </c>
      <c r="D104" s="1">
        <v>2011</v>
      </c>
      <c r="E104" s="5">
        <v>1007</v>
      </c>
      <c r="F104" s="1">
        <v>58100</v>
      </c>
      <c r="G104" s="44">
        <f t="shared" si="27"/>
        <v>1</v>
      </c>
      <c r="H104" s="6">
        <v>42.562666666666665</v>
      </c>
      <c r="I104" s="6">
        <v>-80.989166666666662</v>
      </c>
      <c r="J104">
        <v>42.632766666666669</v>
      </c>
      <c r="K104">
        <v>-81.01636666666667</v>
      </c>
      <c r="L104">
        <v>41.96221666666667</v>
      </c>
      <c r="M104">
        <v>-80.744650000000007</v>
      </c>
      <c r="N104" s="22">
        <f t="shared" si="38"/>
        <v>7.5192087349673448E-2</v>
      </c>
      <c r="O104" s="22">
        <f t="shared" si="39"/>
        <v>0.64832754281903382</v>
      </c>
      <c r="P104" s="22">
        <f t="shared" si="26"/>
        <v>7.5192087349673448E-2</v>
      </c>
      <c r="Q104" s="5">
        <v>20.9</v>
      </c>
      <c r="R104" s="5">
        <v>20.9</v>
      </c>
      <c r="S104" s="5">
        <v>18</v>
      </c>
      <c r="T104" s="1">
        <v>5</v>
      </c>
      <c r="U104" s="1">
        <v>0</v>
      </c>
      <c r="V104" s="5">
        <v>2709</v>
      </c>
      <c r="W104" s="5">
        <v>20</v>
      </c>
      <c r="X104" s="5">
        <v>0.93</v>
      </c>
      <c r="Y104">
        <v>141</v>
      </c>
      <c r="Z104" s="28">
        <f t="shared" si="28"/>
        <v>0</v>
      </c>
      <c r="AA104" s="28">
        <f t="shared" si="29"/>
        <v>0</v>
      </c>
      <c r="AB104" s="28">
        <f t="shared" si="30"/>
        <v>0</v>
      </c>
      <c r="AC104" s="28">
        <f t="shared" si="31"/>
        <v>7</v>
      </c>
      <c r="AD104" s="28">
        <f t="shared" si="32"/>
        <v>0</v>
      </c>
      <c r="AE104">
        <f t="shared" si="21"/>
        <v>0</v>
      </c>
      <c r="AF104">
        <f t="shared" si="22"/>
        <v>0</v>
      </c>
      <c r="AG104">
        <f t="shared" si="23"/>
        <v>0</v>
      </c>
      <c r="AH104">
        <f t="shared" si="24"/>
        <v>0.99290780141843971</v>
      </c>
      <c r="AI104">
        <f t="shared" si="25"/>
        <v>0</v>
      </c>
      <c r="AJ104">
        <v>0</v>
      </c>
      <c r="AK104">
        <v>0</v>
      </c>
      <c r="AL104">
        <v>0</v>
      </c>
      <c r="AM104">
        <v>140</v>
      </c>
      <c r="AN104">
        <v>0</v>
      </c>
      <c r="AO104" s="22">
        <f t="shared" si="33"/>
        <v>0</v>
      </c>
      <c r="AP104" s="22">
        <f t="shared" si="34"/>
        <v>0</v>
      </c>
      <c r="AQ104" s="22">
        <f t="shared" si="35"/>
        <v>0</v>
      </c>
      <c r="AR104" s="22">
        <f t="shared" si="36"/>
        <v>4.9487598903781684</v>
      </c>
      <c r="AS104" s="22">
        <f t="shared" si="37"/>
        <v>0</v>
      </c>
    </row>
    <row r="105" spans="1:45" x14ac:dyDescent="0.25">
      <c r="A105" t="s">
        <v>10</v>
      </c>
      <c r="B105" s="2">
        <v>40729</v>
      </c>
      <c r="C105">
        <v>186</v>
      </c>
      <c r="D105" s="1">
        <v>2011</v>
      </c>
      <c r="E105" s="5">
        <v>1008</v>
      </c>
      <c r="F105" s="1">
        <v>58100</v>
      </c>
      <c r="G105" s="44">
        <f t="shared" si="27"/>
        <v>1</v>
      </c>
      <c r="H105" s="6">
        <v>42.610833333333332</v>
      </c>
      <c r="I105" s="6">
        <v>-81.009</v>
      </c>
      <c r="J105">
        <v>42.632766666666669</v>
      </c>
      <c r="K105">
        <v>-81.01636666666667</v>
      </c>
      <c r="L105">
        <v>41.96221666666667</v>
      </c>
      <c r="M105">
        <v>-80.744650000000007</v>
      </c>
      <c r="N105" s="22">
        <f t="shared" si="38"/>
        <v>2.3137391574874638E-2</v>
      </c>
      <c r="O105" s="22">
        <f t="shared" si="39"/>
        <v>0.70041737755267608</v>
      </c>
      <c r="P105" s="22">
        <f t="shared" si="26"/>
        <v>2.3137391574874638E-2</v>
      </c>
      <c r="Q105" s="5">
        <v>20.5</v>
      </c>
      <c r="R105" s="5">
        <v>11.8</v>
      </c>
      <c r="S105" s="5">
        <v>14.8</v>
      </c>
      <c r="T105" s="1">
        <v>7</v>
      </c>
      <c r="U105" s="1">
        <v>0</v>
      </c>
      <c r="V105" s="5">
        <v>2808</v>
      </c>
      <c r="W105" s="5">
        <v>20</v>
      </c>
      <c r="X105" s="5">
        <v>0.95</v>
      </c>
      <c r="Y105">
        <v>283</v>
      </c>
      <c r="Z105" s="28">
        <f t="shared" si="28"/>
        <v>0</v>
      </c>
      <c r="AA105" s="28">
        <f t="shared" si="29"/>
        <v>0.05</v>
      </c>
      <c r="AB105" s="28">
        <f t="shared" si="30"/>
        <v>9.1</v>
      </c>
      <c r="AC105" s="28">
        <f t="shared" si="31"/>
        <v>4.9000000000000004</v>
      </c>
      <c r="AD105" s="28">
        <f t="shared" si="32"/>
        <v>0</v>
      </c>
      <c r="AE105">
        <f t="shared" si="21"/>
        <v>0</v>
      </c>
      <c r="AF105">
        <f t="shared" si="22"/>
        <v>3.5335689045936395E-3</v>
      </c>
      <c r="AG105">
        <f t="shared" si="23"/>
        <v>0.64310954063604242</v>
      </c>
      <c r="AH105">
        <f t="shared" si="24"/>
        <v>0.3462897526501767</v>
      </c>
      <c r="AI105">
        <f t="shared" si="25"/>
        <v>0</v>
      </c>
      <c r="AJ105">
        <v>0</v>
      </c>
      <c r="AK105">
        <v>1</v>
      </c>
      <c r="AL105">
        <v>182</v>
      </c>
      <c r="AM105">
        <v>98</v>
      </c>
      <c r="AN105">
        <v>0</v>
      </c>
      <c r="AO105" s="22">
        <f t="shared" si="33"/>
        <v>0</v>
      </c>
      <c r="AP105" s="22">
        <f t="shared" si="34"/>
        <v>0.69314718055994529</v>
      </c>
      <c r="AQ105" s="22">
        <f t="shared" si="35"/>
        <v>5.2094861528414214</v>
      </c>
      <c r="AR105" s="22">
        <f t="shared" si="36"/>
        <v>4.5951198501345898</v>
      </c>
      <c r="AS105" s="22">
        <f t="shared" si="37"/>
        <v>0</v>
      </c>
    </row>
    <row r="106" spans="1:45" x14ac:dyDescent="0.25">
      <c r="A106" t="s">
        <v>10</v>
      </c>
      <c r="B106" s="2">
        <v>40729</v>
      </c>
      <c r="C106">
        <v>186</v>
      </c>
      <c r="D106" s="1">
        <v>2011</v>
      </c>
      <c r="E106" s="5">
        <v>1009</v>
      </c>
      <c r="F106" s="1">
        <v>58100</v>
      </c>
      <c r="G106" s="44">
        <f t="shared" si="27"/>
        <v>1</v>
      </c>
      <c r="H106" s="6">
        <v>42.611666666666665</v>
      </c>
      <c r="I106" s="6">
        <v>-81.012666666666661</v>
      </c>
      <c r="J106">
        <v>42.632766666666669</v>
      </c>
      <c r="K106">
        <v>-81.01636666666667</v>
      </c>
      <c r="L106">
        <v>41.96221666666667</v>
      </c>
      <c r="M106">
        <v>-80.744650000000007</v>
      </c>
      <c r="N106" s="22">
        <f t="shared" si="38"/>
        <v>2.142195135836699E-2</v>
      </c>
      <c r="O106" s="22">
        <f t="shared" si="39"/>
        <v>0.70257970089598876</v>
      </c>
      <c r="P106" s="22">
        <f t="shared" si="26"/>
        <v>2.142195135836699E-2</v>
      </c>
      <c r="Q106" s="5">
        <v>20.5</v>
      </c>
      <c r="R106" s="5">
        <v>15.9</v>
      </c>
      <c r="S106" s="5">
        <v>14.9</v>
      </c>
      <c r="T106" s="1">
        <v>5</v>
      </c>
      <c r="U106" s="1">
        <v>0</v>
      </c>
      <c r="V106" s="5">
        <v>2848</v>
      </c>
      <c r="W106" s="5">
        <v>20</v>
      </c>
      <c r="X106" s="5">
        <v>1</v>
      </c>
      <c r="Y106">
        <v>179</v>
      </c>
      <c r="Z106" s="28">
        <f t="shared" si="28"/>
        <v>0</v>
      </c>
      <c r="AA106" s="28">
        <f t="shared" si="29"/>
        <v>0</v>
      </c>
      <c r="AB106" s="28">
        <f t="shared" si="30"/>
        <v>2.35</v>
      </c>
      <c r="AC106" s="28">
        <f t="shared" si="31"/>
        <v>6.1</v>
      </c>
      <c r="AD106" s="28">
        <f t="shared" si="32"/>
        <v>0</v>
      </c>
      <c r="AE106">
        <f t="shared" si="21"/>
        <v>0</v>
      </c>
      <c r="AF106">
        <f t="shared" si="22"/>
        <v>0</v>
      </c>
      <c r="AG106">
        <f t="shared" si="23"/>
        <v>0.26256983240223464</v>
      </c>
      <c r="AH106">
        <f t="shared" si="24"/>
        <v>0.68156424581005581</v>
      </c>
      <c r="AI106">
        <f t="shared" si="25"/>
        <v>0</v>
      </c>
      <c r="AJ106">
        <v>0</v>
      </c>
      <c r="AK106">
        <v>0</v>
      </c>
      <c r="AL106">
        <v>47</v>
      </c>
      <c r="AM106">
        <v>122</v>
      </c>
      <c r="AN106">
        <v>0</v>
      </c>
      <c r="AO106" s="22">
        <f t="shared" si="33"/>
        <v>0</v>
      </c>
      <c r="AP106" s="22">
        <f t="shared" si="34"/>
        <v>0</v>
      </c>
      <c r="AQ106" s="22">
        <f t="shared" si="35"/>
        <v>3.8712010109078911</v>
      </c>
      <c r="AR106" s="22">
        <f t="shared" si="36"/>
        <v>4.8121843553724171</v>
      </c>
      <c r="AS106" s="22">
        <f t="shared" si="37"/>
        <v>0</v>
      </c>
    </row>
    <row r="107" spans="1:45" x14ac:dyDescent="0.25">
      <c r="A107" t="s">
        <v>10</v>
      </c>
      <c r="B107" s="2">
        <v>40730</v>
      </c>
      <c r="C107">
        <v>187</v>
      </c>
      <c r="D107" s="1">
        <v>2011</v>
      </c>
      <c r="E107" s="5">
        <v>2001</v>
      </c>
      <c r="F107" s="1">
        <v>57850</v>
      </c>
      <c r="G107" s="44">
        <f t="shared" si="27"/>
        <v>1</v>
      </c>
      <c r="H107" s="6">
        <v>42.567</v>
      </c>
      <c r="I107" s="6">
        <v>-81.473333333333329</v>
      </c>
      <c r="J107">
        <v>42.566916666666664</v>
      </c>
      <c r="K107">
        <v>-81.47208333333333</v>
      </c>
      <c r="L107">
        <v>41.819366666666667</v>
      </c>
      <c r="M107">
        <v>-81.155166666666673</v>
      </c>
      <c r="N107" s="22">
        <f t="shared" si="38"/>
        <v>1.2527746981967919E-3</v>
      </c>
      <c r="O107" s="22">
        <f t="shared" si="39"/>
        <v>0.81251807911509355</v>
      </c>
      <c r="P107" s="22">
        <f t="shared" si="26"/>
        <v>1.2527746981967919E-3</v>
      </c>
      <c r="Q107" s="5">
        <v>17.5</v>
      </c>
      <c r="R107" s="5">
        <v>9.98</v>
      </c>
      <c r="S107" s="5">
        <v>10</v>
      </c>
      <c r="T107" s="1">
        <v>5</v>
      </c>
      <c r="U107" s="1">
        <v>0</v>
      </c>
      <c r="V107" s="5">
        <v>2140</v>
      </c>
      <c r="W107" s="5">
        <v>20</v>
      </c>
      <c r="X107" s="5">
        <v>0.95</v>
      </c>
      <c r="Y107">
        <v>1119</v>
      </c>
      <c r="Z107" s="28">
        <f t="shared" si="28"/>
        <v>0</v>
      </c>
      <c r="AA107" s="28">
        <f t="shared" si="29"/>
        <v>0</v>
      </c>
      <c r="AB107" s="28">
        <f t="shared" si="30"/>
        <v>53.45</v>
      </c>
      <c r="AC107" s="28">
        <f t="shared" si="31"/>
        <v>2.0499999999999998</v>
      </c>
      <c r="AD107" s="28">
        <f t="shared" si="32"/>
        <v>0</v>
      </c>
      <c r="AE107">
        <f t="shared" si="21"/>
        <v>0</v>
      </c>
      <c r="AF107">
        <f t="shared" si="22"/>
        <v>0</v>
      </c>
      <c r="AG107">
        <f t="shared" si="23"/>
        <v>0.95531724754244862</v>
      </c>
      <c r="AH107">
        <f t="shared" si="24"/>
        <v>3.6639857015192137E-2</v>
      </c>
      <c r="AI107">
        <f t="shared" si="25"/>
        <v>0</v>
      </c>
      <c r="AJ107">
        <v>0</v>
      </c>
      <c r="AK107">
        <v>0</v>
      </c>
      <c r="AL107">
        <v>1069</v>
      </c>
      <c r="AM107">
        <v>41</v>
      </c>
      <c r="AN107">
        <v>0</v>
      </c>
      <c r="AO107" s="22">
        <f t="shared" si="33"/>
        <v>0</v>
      </c>
      <c r="AP107" s="22">
        <f t="shared" si="34"/>
        <v>0</v>
      </c>
      <c r="AQ107" s="22">
        <f t="shared" si="35"/>
        <v>6.9754139274559517</v>
      </c>
      <c r="AR107" s="22">
        <f t="shared" si="36"/>
        <v>3.7376696182833684</v>
      </c>
      <c r="AS107" s="22">
        <f t="shared" si="37"/>
        <v>0</v>
      </c>
    </row>
    <row r="108" spans="1:45" x14ac:dyDescent="0.25">
      <c r="A108" t="s">
        <v>10</v>
      </c>
      <c r="B108" s="2">
        <v>40730</v>
      </c>
      <c r="C108">
        <v>187</v>
      </c>
      <c r="D108" s="1">
        <v>2011</v>
      </c>
      <c r="E108" s="5">
        <v>2002</v>
      </c>
      <c r="F108" s="1">
        <v>57850</v>
      </c>
      <c r="G108" s="44">
        <f t="shared" si="27"/>
        <v>1</v>
      </c>
      <c r="H108" s="6">
        <v>42.550333333333334</v>
      </c>
      <c r="I108" s="6">
        <v>-81.466333333333338</v>
      </c>
      <c r="J108">
        <v>42.566916666666664</v>
      </c>
      <c r="K108">
        <v>-81.47208333333333</v>
      </c>
      <c r="L108">
        <v>41.819366666666667</v>
      </c>
      <c r="M108">
        <v>-81.155166666666673</v>
      </c>
      <c r="N108" s="22">
        <f t="shared" si="38"/>
        <v>1.7551907145499274E-2</v>
      </c>
      <c r="O108" s="22">
        <f t="shared" si="39"/>
        <v>0.79444128934882408</v>
      </c>
      <c r="P108" s="22">
        <f t="shared" si="26"/>
        <v>1.7551907145499274E-2</v>
      </c>
      <c r="Q108" s="5">
        <v>17.5</v>
      </c>
      <c r="R108" s="5">
        <v>9.6999999999999993</v>
      </c>
      <c r="S108" s="5">
        <v>14.4</v>
      </c>
      <c r="T108" s="1">
        <v>8</v>
      </c>
      <c r="U108" s="1">
        <v>0</v>
      </c>
      <c r="V108" s="5">
        <v>2214</v>
      </c>
      <c r="W108" s="5">
        <v>20</v>
      </c>
      <c r="X108" s="5">
        <v>0.96</v>
      </c>
      <c r="Y108">
        <v>392</v>
      </c>
      <c r="Z108" s="28">
        <f t="shared" si="28"/>
        <v>0</v>
      </c>
      <c r="AA108" s="28">
        <f t="shared" si="29"/>
        <v>0</v>
      </c>
      <c r="AB108" s="28">
        <f t="shared" si="30"/>
        <v>14.2</v>
      </c>
      <c r="AC108" s="28">
        <f t="shared" si="31"/>
        <v>5.3</v>
      </c>
      <c r="AD108" s="28">
        <f t="shared" si="32"/>
        <v>0</v>
      </c>
      <c r="AE108">
        <f t="shared" si="21"/>
        <v>0</v>
      </c>
      <c r="AF108">
        <f t="shared" si="22"/>
        <v>0</v>
      </c>
      <c r="AG108">
        <f t="shared" si="23"/>
        <v>0.72448979591836737</v>
      </c>
      <c r="AH108">
        <f t="shared" si="24"/>
        <v>0.27040816326530615</v>
      </c>
      <c r="AI108">
        <f t="shared" si="25"/>
        <v>0</v>
      </c>
      <c r="AJ108">
        <v>0</v>
      </c>
      <c r="AK108">
        <v>0</v>
      </c>
      <c r="AL108">
        <v>284</v>
      </c>
      <c r="AM108">
        <v>106</v>
      </c>
      <c r="AN108">
        <v>0</v>
      </c>
      <c r="AO108" s="22">
        <f t="shared" si="33"/>
        <v>0</v>
      </c>
      <c r="AP108" s="22">
        <f t="shared" si="34"/>
        <v>0</v>
      </c>
      <c r="AQ108" s="22">
        <f t="shared" si="35"/>
        <v>5.6524891802686508</v>
      </c>
      <c r="AR108" s="22">
        <f t="shared" si="36"/>
        <v>4.6728288344619058</v>
      </c>
      <c r="AS108" s="22">
        <f t="shared" si="37"/>
        <v>0</v>
      </c>
    </row>
    <row r="109" spans="1:45" x14ac:dyDescent="0.25">
      <c r="A109" t="s">
        <v>10</v>
      </c>
      <c r="B109" s="2">
        <v>40730</v>
      </c>
      <c r="C109">
        <v>187</v>
      </c>
      <c r="D109" s="1">
        <v>2011</v>
      </c>
      <c r="E109" s="5">
        <v>2003</v>
      </c>
      <c r="F109" s="1">
        <v>57850</v>
      </c>
      <c r="G109" s="44">
        <f t="shared" si="27"/>
        <v>1</v>
      </c>
      <c r="H109" s="6">
        <v>42.490333333333332</v>
      </c>
      <c r="I109" s="6">
        <v>-81.439666666666668</v>
      </c>
      <c r="J109">
        <v>42.566916666666664</v>
      </c>
      <c r="K109">
        <v>-81.47208333333333</v>
      </c>
      <c r="L109">
        <v>41.819366666666667</v>
      </c>
      <c r="M109">
        <v>-81.155166666666673</v>
      </c>
      <c r="N109" s="22">
        <f t="shared" si="38"/>
        <v>8.3161572990304536E-2</v>
      </c>
      <c r="O109" s="22">
        <f t="shared" si="39"/>
        <v>0.72879113453565836</v>
      </c>
      <c r="P109" s="22">
        <f t="shared" si="26"/>
        <v>8.3161572990304536E-2</v>
      </c>
      <c r="Q109" s="5">
        <v>22.4</v>
      </c>
      <c r="R109" s="5">
        <v>9.4</v>
      </c>
      <c r="S109" s="5">
        <v>19.2</v>
      </c>
      <c r="T109" s="1">
        <v>13</v>
      </c>
      <c r="U109" s="1">
        <v>1</v>
      </c>
      <c r="V109" s="5">
        <v>2325</v>
      </c>
      <c r="W109" s="5">
        <v>20</v>
      </c>
      <c r="X109" s="5">
        <v>1.01</v>
      </c>
      <c r="Y109">
        <v>18</v>
      </c>
      <c r="Z109" s="28">
        <f t="shared" si="28"/>
        <v>0</v>
      </c>
      <c r="AA109" s="28">
        <f t="shared" si="29"/>
        <v>0</v>
      </c>
      <c r="AB109" s="28">
        <f t="shared" si="30"/>
        <v>0.8</v>
      </c>
      <c r="AC109" s="28">
        <f t="shared" si="31"/>
        <v>0.05</v>
      </c>
      <c r="AD109" s="28">
        <f t="shared" si="32"/>
        <v>0</v>
      </c>
      <c r="AE109">
        <f t="shared" si="21"/>
        <v>0</v>
      </c>
      <c r="AF109">
        <f t="shared" si="22"/>
        <v>0</v>
      </c>
      <c r="AG109">
        <f t="shared" si="23"/>
        <v>0.88888888888888884</v>
      </c>
      <c r="AH109">
        <f t="shared" si="24"/>
        <v>5.5555555555555552E-2</v>
      </c>
      <c r="AI109">
        <f t="shared" si="25"/>
        <v>0</v>
      </c>
      <c r="AJ109">
        <v>0</v>
      </c>
      <c r="AK109">
        <v>0</v>
      </c>
      <c r="AL109">
        <v>16</v>
      </c>
      <c r="AM109">
        <v>1</v>
      </c>
      <c r="AN109">
        <v>0</v>
      </c>
      <c r="AO109" s="22">
        <f t="shared" si="33"/>
        <v>0</v>
      </c>
      <c r="AP109" s="22">
        <f t="shared" si="34"/>
        <v>0</v>
      </c>
      <c r="AQ109" s="22">
        <f t="shared" si="35"/>
        <v>2.8332133440562162</v>
      </c>
      <c r="AR109" s="22">
        <f t="shared" si="36"/>
        <v>0.69314718055994529</v>
      </c>
      <c r="AS109" s="22">
        <f t="shared" si="37"/>
        <v>0</v>
      </c>
    </row>
    <row r="110" spans="1:45" x14ac:dyDescent="0.25">
      <c r="A110" t="s">
        <v>10</v>
      </c>
      <c r="B110" s="2">
        <v>40730</v>
      </c>
      <c r="C110">
        <v>187</v>
      </c>
      <c r="D110" s="1">
        <v>2011</v>
      </c>
      <c r="E110" s="5">
        <v>2004</v>
      </c>
      <c r="F110" s="1">
        <v>57850</v>
      </c>
      <c r="G110" s="44">
        <f t="shared" si="27"/>
        <v>1</v>
      </c>
      <c r="H110" s="6">
        <v>42.475000000000001</v>
      </c>
      <c r="I110" s="6">
        <v>-81.433166666666665</v>
      </c>
      <c r="J110">
        <v>42.566916666666664</v>
      </c>
      <c r="K110">
        <v>-81.47208333333333</v>
      </c>
      <c r="L110">
        <v>41.819366666666667</v>
      </c>
      <c r="M110">
        <v>-81.155166666666673</v>
      </c>
      <c r="N110" s="22">
        <f t="shared" si="38"/>
        <v>9.9815733006148474E-2</v>
      </c>
      <c r="O110" s="22">
        <f t="shared" si="39"/>
        <v>0.71213697262378828</v>
      </c>
      <c r="P110" s="22">
        <f t="shared" si="26"/>
        <v>9.9815733006148474E-2</v>
      </c>
      <c r="Q110" s="5">
        <v>22.4</v>
      </c>
      <c r="R110" s="5">
        <v>17.600000000000001</v>
      </c>
      <c r="S110" s="5">
        <v>20.6</v>
      </c>
      <c r="T110" s="1">
        <v>11</v>
      </c>
      <c r="U110" s="1">
        <v>0</v>
      </c>
      <c r="V110" s="5">
        <v>2359</v>
      </c>
      <c r="W110" s="5">
        <v>20</v>
      </c>
      <c r="X110" s="5">
        <v>0.93</v>
      </c>
      <c r="Y110">
        <v>14</v>
      </c>
      <c r="Z110" s="28">
        <f t="shared" si="28"/>
        <v>0</v>
      </c>
      <c r="AA110" s="28">
        <f t="shared" si="29"/>
        <v>0.1</v>
      </c>
      <c r="AB110" s="28">
        <f t="shared" si="30"/>
        <v>0</v>
      </c>
      <c r="AC110" s="28">
        <f t="shared" si="31"/>
        <v>0.55000000000000004</v>
      </c>
      <c r="AD110" s="28">
        <f t="shared" si="32"/>
        <v>0</v>
      </c>
      <c r="AE110">
        <f t="shared" si="21"/>
        <v>0</v>
      </c>
      <c r="AF110">
        <f t="shared" si="22"/>
        <v>0.14285714285714285</v>
      </c>
      <c r="AG110">
        <f t="shared" si="23"/>
        <v>0</v>
      </c>
      <c r="AH110">
        <f t="shared" si="24"/>
        <v>0.7857142857142857</v>
      </c>
      <c r="AI110">
        <f t="shared" si="25"/>
        <v>0</v>
      </c>
      <c r="AJ110">
        <v>0</v>
      </c>
      <c r="AK110">
        <v>2</v>
      </c>
      <c r="AL110">
        <v>0</v>
      </c>
      <c r="AM110">
        <v>11</v>
      </c>
      <c r="AN110">
        <v>0</v>
      </c>
      <c r="AO110" s="22">
        <f t="shared" si="33"/>
        <v>0</v>
      </c>
      <c r="AP110" s="22">
        <f t="shared" si="34"/>
        <v>1.0986122886681098</v>
      </c>
      <c r="AQ110" s="22">
        <f t="shared" si="35"/>
        <v>0</v>
      </c>
      <c r="AR110" s="22">
        <f t="shared" si="36"/>
        <v>2.4849066497880004</v>
      </c>
      <c r="AS110" s="22">
        <f t="shared" si="37"/>
        <v>0</v>
      </c>
    </row>
    <row r="111" spans="1:45" x14ac:dyDescent="0.25">
      <c r="A111" t="s">
        <v>10</v>
      </c>
      <c r="B111" s="2">
        <v>40730</v>
      </c>
      <c r="C111">
        <v>187</v>
      </c>
      <c r="D111" s="1">
        <v>2011</v>
      </c>
      <c r="E111" s="5">
        <v>2005</v>
      </c>
      <c r="F111" s="1">
        <v>57850</v>
      </c>
      <c r="G111" s="44">
        <f t="shared" si="27"/>
        <v>1</v>
      </c>
      <c r="H111" s="6">
        <v>42.486166666666669</v>
      </c>
      <c r="I111" s="6">
        <v>-81.445333333333338</v>
      </c>
      <c r="J111">
        <v>42.566916666666664</v>
      </c>
      <c r="K111">
        <v>-81.47208333333333</v>
      </c>
      <c r="L111">
        <v>41.819366666666667</v>
      </c>
      <c r="M111">
        <v>-81.155166666666673</v>
      </c>
      <c r="N111" s="22">
        <f t="shared" si="38"/>
        <v>8.5065416004383151E-2</v>
      </c>
      <c r="O111" s="22">
        <f t="shared" si="39"/>
        <v>0.72719937736802676</v>
      </c>
      <c r="P111" s="22">
        <f t="shared" si="26"/>
        <v>8.5065416004383151E-2</v>
      </c>
      <c r="Q111" s="5">
        <v>22.4</v>
      </c>
      <c r="R111" s="5">
        <v>22.3</v>
      </c>
      <c r="S111" s="5">
        <v>19.7</v>
      </c>
      <c r="T111" s="1">
        <v>5</v>
      </c>
      <c r="U111" s="1">
        <v>0</v>
      </c>
      <c r="V111" s="5">
        <v>2429</v>
      </c>
      <c r="W111" s="5">
        <v>20</v>
      </c>
      <c r="X111" s="5">
        <v>0.95</v>
      </c>
      <c r="Y111">
        <v>34</v>
      </c>
      <c r="Z111" s="28">
        <f t="shared" si="28"/>
        <v>0</v>
      </c>
      <c r="AA111" s="28">
        <f t="shared" si="29"/>
        <v>0.1</v>
      </c>
      <c r="AB111" s="28">
        <f t="shared" si="30"/>
        <v>0</v>
      </c>
      <c r="AC111" s="28">
        <f t="shared" si="31"/>
        <v>1.55</v>
      </c>
      <c r="AD111" s="28">
        <f t="shared" si="32"/>
        <v>0</v>
      </c>
      <c r="AE111">
        <f t="shared" si="21"/>
        <v>0</v>
      </c>
      <c r="AF111">
        <f t="shared" si="22"/>
        <v>5.8823529411764705E-2</v>
      </c>
      <c r="AG111">
        <f t="shared" si="23"/>
        <v>0</v>
      </c>
      <c r="AH111">
        <f t="shared" si="24"/>
        <v>0.91176470588235292</v>
      </c>
      <c r="AI111">
        <f t="shared" si="25"/>
        <v>0</v>
      </c>
      <c r="AJ111">
        <v>0</v>
      </c>
      <c r="AK111">
        <v>2</v>
      </c>
      <c r="AL111">
        <v>0</v>
      </c>
      <c r="AM111">
        <v>31</v>
      </c>
      <c r="AN111">
        <v>0</v>
      </c>
      <c r="AO111" s="22">
        <f t="shared" si="33"/>
        <v>0</v>
      </c>
      <c r="AP111" s="22">
        <f t="shared" si="34"/>
        <v>1.0986122886681098</v>
      </c>
      <c r="AQ111" s="22">
        <f t="shared" si="35"/>
        <v>0</v>
      </c>
      <c r="AR111" s="22">
        <f t="shared" si="36"/>
        <v>3.4657359027997265</v>
      </c>
      <c r="AS111" s="22">
        <f t="shared" si="37"/>
        <v>0</v>
      </c>
    </row>
    <row r="112" spans="1:45" x14ac:dyDescent="0.25">
      <c r="A112" t="s">
        <v>10</v>
      </c>
      <c r="B112" s="2">
        <v>40730</v>
      </c>
      <c r="C112">
        <v>187</v>
      </c>
      <c r="D112" s="1">
        <v>2011</v>
      </c>
      <c r="E112" s="5">
        <v>2006</v>
      </c>
      <c r="F112" s="1">
        <v>57850</v>
      </c>
      <c r="G112" s="44">
        <f t="shared" si="27"/>
        <v>1</v>
      </c>
      <c r="H112" s="6">
        <v>42.337333333333333</v>
      </c>
      <c r="I112" s="6">
        <v>-81.373000000000005</v>
      </c>
      <c r="J112">
        <v>42.566916666666664</v>
      </c>
      <c r="K112">
        <v>-81.47208333333333</v>
      </c>
      <c r="L112">
        <v>41.819366666666667</v>
      </c>
      <c r="M112">
        <v>-81.155166666666673</v>
      </c>
      <c r="N112" s="22">
        <f t="shared" si="38"/>
        <v>0.25005202236511925</v>
      </c>
      <c r="O112" s="22">
        <f t="shared" si="39"/>
        <v>0.56190820325822577</v>
      </c>
      <c r="P112" s="22">
        <f t="shared" si="26"/>
        <v>0.25005202236511925</v>
      </c>
      <c r="Q112" s="5">
        <v>22.3</v>
      </c>
      <c r="R112" s="5">
        <v>8.82</v>
      </c>
      <c r="S112" s="5">
        <v>22.6</v>
      </c>
      <c r="T112" s="1">
        <v>16</v>
      </c>
      <c r="U112" s="1">
        <v>1</v>
      </c>
      <c r="V112" s="5">
        <v>2606</v>
      </c>
      <c r="W112" s="5">
        <v>20</v>
      </c>
      <c r="X112" s="5">
        <v>0.95</v>
      </c>
      <c r="Y112">
        <v>16</v>
      </c>
      <c r="Z112" s="28">
        <f t="shared" si="28"/>
        <v>0</v>
      </c>
      <c r="AA112" s="28">
        <f t="shared" si="29"/>
        <v>0</v>
      </c>
      <c r="AB112" s="28">
        <f t="shared" si="30"/>
        <v>0.8</v>
      </c>
      <c r="AC112" s="28">
        <f t="shared" si="31"/>
        <v>0</v>
      </c>
      <c r="AD112" s="28">
        <f t="shared" si="32"/>
        <v>0</v>
      </c>
      <c r="AE112">
        <f t="shared" si="21"/>
        <v>0</v>
      </c>
      <c r="AF112">
        <f t="shared" si="22"/>
        <v>0</v>
      </c>
      <c r="AG112">
        <f t="shared" si="23"/>
        <v>1</v>
      </c>
      <c r="AH112">
        <f t="shared" si="24"/>
        <v>0</v>
      </c>
      <c r="AI112">
        <f t="shared" si="25"/>
        <v>0</v>
      </c>
      <c r="AJ112">
        <v>0</v>
      </c>
      <c r="AK112">
        <v>0</v>
      </c>
      <c r="AL112">
        <v>16</v>
      </c>
      <c r="AM112">
        <v>0</v>
      </c>
      <c r="AN112">
        <v>0</v>
      </c>
      <c r="AO112" s="22">
        <f t="shared" si="33"/>
        <v>0</v>
      </c>
      <c r="AP112" s="22">
        <f t="shared" si="34"/>
        <v>0</v>
      </c>
      <c r="AQ112" s="22">
        <f t="shared" si="35"/>
        <v>2.8332133440562162</v>
      </c>
      <c r="AR112" s="22">
        <f t="shared" si="36"/>
        <v>0</v>
      </c>
      <c r="AS112" s="22">
        <f t="shared" si="37"/>
        <v>0</v>
      </c>
    </row>
    <row r="113" spans="1:45" x14ac:dyDescent="0.25">
      <c r="A113" t="s">
        <v>10</v>
      </c>
      <c r="B113" s="2">
        <v>40730</v>
      </c>
      <c r="C113">
        <v>187</v>
      </c>
      <c r="D113" s="1">
        <v>2011</v>
      </c>
      <c r="E113" s="5">
        <v>2007</v>
      </c>
      <c r="F113" s="1">
        <v>57850</v>
      </c>
      <c r="G113" s="44">
        <f t="shared" si="27"/>
        <v>1</v>
      </c>
      <c r="H113" s="13">
        <v>42.31366666666667</v>
      </c>
      <c r="I113" s="6">
        <v>-81.366</v>
      </c>
      <c r="J113">
        <v>42.566916666666664</v>
      </c>
      <c r="K113">
        <v>-81.47208333333333</v>
      </c>
      <c r="L113">
        <v>41.819366666666667</v>
      </c>
      <c r="M113">
        <v>-81.155166666666673</v>
      </c>
      <c r="N113" s="22">
        <f t="shared" si="38"/>
        <v>0.27457100376971272</v>
      </c>
      <c r="O113" s="22">
        <f t="shared" si="39"/>
        <v>0.53738550821960585</v>
      </c>
      <c r="P113" s="22">
        <f t="shared" si="26"/>
        <v>0.27457100376971272</v>
      </c>
      <c r="Q113" s="5">
        <v>22.3</v>
      </c>
      <c r="R113" s="5">
        <v>19.399999999999999</v>
      </c>
      <c r="S113" s="5">
        <v>22.8</v>
      </c>
      <c r="T113" s="21">
        <v>13</v>
      </c>
      <c r="U113" s="21">
        <v>1</v>
      </c>
      <c r="V113" s="5">
        <v>2639</v>
      </c>
      <c r="W113" s="5">
        <v>20</v>
      </c>
      <c r="X113" s="5">
        <v>0.96</v>
      </c>
      <c r="Y113">
        <v>14</v>
      </c>
      <c r="Z113" s="28">
        <f t="shared" si="28"/>
        <v>0</v>
      </c>
      <c r="AA113" s="28">
        <f t="shared" si="29"/>
        <v>0.25</v>
      </c>
      <c r="AB113" s="28">
        <f t="shared" si="30"/>
        <v>0.2</v>
      </c>
      <c r="AC113" s="28">
        <f t="shared" si="31"/>
        <v>0.25</v>
      </c>
      <c r="AD113" s="28">
        <f t="shared" si="32"/>
        <v>0</v>
      </c>
      <c r="AE113">
        <f t="shared" si="21"/>
        <v>0</v>
      </c>
      <c r="AF113">
        <f t="shared" si="22"/>
        <v>0.35714285714285715</v>
      </c>
      <c r="AG113">
        <f t="shared" si="23"/>
        <v>0.2857142857142857</v>
      </c>
      <c r="AH113">
        <f t="shared" si="24"/>
        <v>0.35714285714285715</v>
      </c>
      <c r="AI113">
        <f t="shared" si="25"/>
        <v>0</v>
      </c>
      <c r="AJ113">
        <v>0</v>
      </c>
      <c r="AK113">
        <v>5</v>
      </c>
      <c r="AL113">
        <v>4</v>
      </c>
      <c r="AM113">
        <v>5</v>
      </c>
      <c r="AN113">
        <v>0</v>
      </c>
      <c r="AO113" s="22">
        <f t="shared" si="33"/>
        <v>0</v>
      </c>
      <c r="AP113" s="22">
        <f t="shared" si="34"/>
        <v>1.791759469228055</v>
      </c>
      <c r="AQ113" s="22">
        <f t="shared" si="35"/>
        <v>1.6094379124341003</v>
      </c>
      <c r="AR113" s="22">
        <f t="shared" si="36"/>
        <v>1.791759469228055</v>
      </c>
      <c r="AS113" s="22">
        <f t="shared" si="37"/>
        <v>0</v>
      </c>
    </row>
    <row r="114" spans="1:45" x14ac:dyDescent="0.25">
      <c r="A114" t="s">
        <v>10</v>
      </c>
      <c r="B114" s="2">
        <v>40730</v>
      </c>
      <c r="C114">
        <v>187</v>
      </c>
      <c r="D114" s="1">
        <v>2011</v>
      </c>
      <c r="E114" s="5">
        <v>2008</v>
      </c>
      <c r="F114" s="1">
        <v>57850</v>
      </c>
      <c r="G114" s="44">
        <f t="shared" si="27"/>
        <v>1</v>
      </c>
      <c r="H114" s="6">
        <v>42.325000000000003</v>
      </c>
      <c r="I114" s="6">
        <v>-81.367999999999995</v>
      </c>
      <c r="J114">
        <v>42.566916666666664</v>
      </c>
      <c r="K114">
        <v>-81.47208333333333</v>
      </c>
      <c r="L114">
        <v>41.819366666666667</v>
      </c>
      <c r="M114">
        <v>-81.155166666666673</v>
      </c>
      <c r="N114" s="22">
        <f t="shared" si="38"/>
        <v>0.26335719828568699</v>
      </c>
      <c r="O114" s="22">
        <f t="shared" si="39"/>
        <v>0.54860103495669132</v>
      </c>
      <c r="P114" s="22">
        <f t="shared" si="26"/>
        <v>0.26335719828568699</v>
      </c>
      <c r="Q114" s="5">
        <v>22.3</v>
      </c>
      <c r="R114" s="5">
        <v>20.6</v>
      </c>
      <c r="S114" s="5">
        <v>22.8</v>
      </c>
      <c r="T114" s="1">
        <v>10</v>
      </c>
      <c r="U114" s="1">
        <v>0</v>
      </c>
      <c r="V114" s="5">
        <v>2726</v>
      </c>
      <c r="W114" s="5">
        <v>20</v>
      </c>
      <c r="X114" s="5">
        <v>0.96</v>
      </c>
      <c r="Y114">
        <v>18</v>
      </c>
      <c r="Z114" s="28">
        <f t="shared" si="28"/>
        <v>0</v>
      </c>
      <c r="AA114" s="28">
        <f t="shared" si="29"/>
        <v>0</v>
      </c>
      <c r="AB114" s="28">
        <f t="shared" si="30"/>
        <v>0</v>
      </c>
      <c r="AC114" s="28">
        <f t="shared" si="31"/>
        <v>0.8</v>
      </c>
      <c r="AD114" s="28">
        <f t="shared" si="32"/>
        <v>0</v>
      </c>
      <c r="AE114">
        <f t="shared" si="21"/>
        <v>0</v>
      </c>
      <c r="AF114">
        <f t="shared" si="22"/>
        <v>0</v>
      </c>
      <c r="AG114">
        <f t="shared" si="23"/>
        <v>0</v>
      </c>
      <c r="AH114">
        <f t="shared" si="24"/>
        <v>0.88888888888888884</v>
      </c>
      <c r="AI114">
        <f t="shared" si="25"/>
        <v>0</v>
      </c>
      <c r="AJ114">
        <v>0</v>
      </c>
      <c r="AK114">
        <v>0</v>
      </c>
      <c r="AL114">
        <v>0</v>
      </c>
      <c r="AM114">
        <v>16</v>
      </c>
      <c r="AN114">
        <v>0</v>
      </c>
      <c r="AO114" s="22">
        <f t="shared" si="33"/>
        <v>0</v>
      </c>
      <c r="AP114" s="22">
        <f t="shared" si="34"/>
        <v>0</v>
      </c>
      <c r="AQ114" s="22">
        <f t="shared" si="35"/>
        <v>0</v>
      </c>
      <c r="AR114" s="22">
        <f t="shared" si="36"/>
        <v>2.8332133440562162</v>
      </c>
      <c r="AS114" s="22">
        <f t="shared" si="37"/>
        <v>0</v>
      </c>
    </row>
    <row r="115" spans="1:45" x14ac:dyDescent="0.25">
      <c r="A115" t="s">
        <v>10</v>
      </c>
      <c r="B115" s="2">
        <v>40730</v>
      </c>
      <c r="C115">
        <v>187</v>
      </c>
      <c r="D115" s="1">
        <v>2011</v>
      </c>
      <c r="E115" s="5">
        <v>2009</v>
      </c>
      <c r="F115" s="1">
        <v>57850</v>
      </c>
      <c r="G115" s="44">
        <f t="shared" si="27"/>
        <v>1</v>
      </c>
      <c r="H115" s="6">
        <v>42.303666666666665</v>
      </c>
      <c r="I115" s="6">
        <v>-81.356166666666667</v>
      </c>
      <c r="J115">
        <v>42.566916666666664</v>
      </c>
      <c r="K115">
        <v>-81.47208333333333</v>
      </c>
      <c r="L115">
        <v>41.819366666666667</v>
      </c>
      <c r="M115">
        <v>-81.155166666666673</v>
      </c>
      <c r="N115" s="22">
        <f t="shared" si="38"/>
        <v>0.28764081092763943</v>
      </c>
      <c r="O115" s="22">
        <f t="shared" si="39"/>
        <v>0.52435435537429731</v>
      </c>
      <c r="P115" s="22">
        <f t="shared" si="26"/>
        <v>0.28764081092763943</v>
      </c>
      <c r="Q115" s="5">
        <v>22.3</v>
      </c>
      <c r="R115" s="5">
        <v>22.3</v>
      </c>
      <c r="S115" s="5">
        <v>22.6</v>
      </c>
      <c r="T115" s="1">
        <v>5</v>
      </c>
      <c r="U115" s="1">
        <v>0</v>
      </c>
      <c r="V115" s="5">
        <v>2759</v>
      </c>
      <c r="W115" s="5">
        <v>20</v>
      </c>
      <c r="X115" s="5">
        <v>0.97</v>
      </c>
      <c r="Y115">
        <v>43</v>
      </c>
      <c r="Z115" s="28">
        <f t="shared" si="28"/>
        <v>0</v>
      </c>
      <c r="AA115" s="28">
        <f t="shared" si="29"/>
        <v>0</v>
      </c>
      <c r="AB115" s="28">
        <f t="shared" si="30"/>
        <v>0</v>
      </c>
      <c r="AC115" s="28">
        <f t="shared" si="31"/>
        <v>2.15</v>
      </c>
      <c r="AD115" s="28">
        <f t="shared" si="32"/>
        <v>0</v>
      </c>
      <c r="AE115">
        <f t="shared" si="21"/>
        <v>0</v>
      </c>
      <c r="AF115">
        <f t="shared" si="22"/>
        <v>0</v>
      </c>
      <c r="AG115">
        <f t="shared" si="23"/>
        <v>0</v>
      </c>
      <c r="AH115">
        <f t="shared" si="24"/>
        <v>1</v>
      </c>
      <c r="AI115">
        <f t="shared" si="25"/>
        <v>0</v>
      </c>
      <c r="AJ115">
        <v>0</v>
      </c>
      <c r="AK115">
        <v>0</v>
      </c>
      <c r="AL115">
        <v>0</v>
      </c>
      <c r="AM115">
        <v>43</v>
      </c>
      <c r="AN115">
        <v>0</v>
      </c>
      <c r="AO115" s="22">
        <f t="shared" si="33"/>
        <v>0</v>
      </c>
      <c r="AP115" s="22">
        <f t="shared" si="34"/>
        <v>0</v>
      </c>
      <c r="AQ115" s="22">
        <f t="shared" si="35"/>
        <v>0</v>
      </c>
      <c r="AR115" s="22">
        <f t="shared" si="36"/>
        <v>3.784189633918261</v>
      </c>
      <c r="AS115" s="22">
        <f t="shared" si="37"/>
        <v>0</v>
      </c>
    </row>
    <row r="116" spans="1:45" x14ac:dyDescent="0.25">
      <c r="A116" t="s">
        <v>10</v>
      </c>
      <c r="B116" s="2">
        <v>40731</v>
      </c>
      <c r="C116">
        <v>188</v>
      </c>
      <c r="D116" s="1">
        <v>2011</v>
      </c>
      <c r="E116" s="5">
        <v>3001</v>
      </c>
      <c r="F116" s="1">
        <v>57600</v>
      </c>
      <c r="G116" s="44">
        <f t="shared" si="27"/>
        <v>0</v>
      </c>
      <c r="H116" s="6">
        <v>42.258000000000003</v>
      </c>
      <c r="I116" s="6">
        <v>-81.829666666666668</v>
      </c>
      <c r="J116">
        <v>42.261233333333337</v>
      </c>
      <c r="K116">
        <v>-81.829883333333328</v>
      </c>
      <c r="L116">
        <v>41.621000000000002</v>
      </c>
      <c r="M116">
        <v>-81.539483333333337</v>
      </c>
      <c r="N116" s="22">
        <f t="shared" si="38"/>
        <v>3.2405846523259848E-3</v>
      </c>
      <c r="O116" s="22">
        <f t="shared" si="39"/>
        <v>0.69998240473917916</v>
      </c>
      <c r="P116" s="22">
        <f t="shared" si="26"/>
        <v>3.2405846523259848E-3</v>
      </c>
      <c r="Q116" s="5">
        <v>21.9</v>
      </c>
      <c r="R116" s="5">
        <v>13.9</v>
      </c>
      <c r="S116" s="5">
        <v>11.9</v>
      </c>
      <c r="T116" s="1">
        <v>7</v>
      </c>
      <c r="U116" s="1">
        <v>0</v>
      </c>
      <c r="V116" s="5">
        <v>2133</v>
      </c>
      <c r="W116" s="5">
        <v>20</v>
      </c>
      <c r="X116" s="5">
        <v>0.97</v>
      </c>
      <c r="Y116">
        <v>516</v>
      </c>
      <c r="Z116" s="28">
        <f t="shared" si="28"/>
        <v>0</v>
      </c>
      <c r="AA116" s="28">
        <f t="shared" si="29"/>
        <v>0</v>
      </c>
      <c r="AB116" s="28">
        <f t="shared" si="30"/>
        <v>22.55</v>
      </c>
      <c r="AC116" s="28">
        <f t="shared" si="31"/>
        <v>3.15</v>
      </c>
      <c r="AD116" s="28">
        <f t="shared" si="32"/>
        <v>0</v>
      </c>
      <c r="AE116">
        <f t="shared" si="21"/>
        <v>0</v>
      </c>
      <c r="AF116">
        <f t="shared" si="22"/>
        <v>0</v>
      </c>
      <c r="AG116">
        <f t="shared" si="23"/>
        <v>0.87403100775193798</v>
      </c>
      <c r="AH116">
        <f t="shared" si="24"/>
        <v>0.12209302325581395</v>
      </c>
      <c r="AI116">
        <f t="shared" si="25"/>
        <v>0</v>
      </c>
      <c r="AJ116">
        <v>0</v>
      </c>
      <c r="AK116">
        <v>0</v>
      </c>
      <c r="AL116">
        <v>451</v>
      </c>
      <c r="AM116">
        <v>63</v>
      </c>
      <c r="AN116">
        <v>0</v>
      </c>
      <c r="AO116" s="22">
        <f t="shared" si="33"/>
        <v>0</v>
      </c>
      <c r="AP116" s="22">
        <f t="shared" si="34"/>
        <v>0</v>
      </c>
      <c r="AQ116" s="22">
        <f t="shared" si="35"/>
        <v>6.1136821798322316</v>
      </c>
      <c r="AR116" s="22">
        <f t="shared" si="36"/>
        <v>4.1588830833596715</v>
      </c>
      <c r="AS116" s="22">
        <f t="shared" si="37"/>
        <v>0</v>
      </c>
    </row>
    <row r="117" spans="1:45" x14ac:dyDescent="0.25">
      <c r="A117" t="s">
        <v>10</v>
      </c>
      <c r="B117" s="2">
        <v>40731</v>
      </c>
      <c r="C117">
        <v>188</v>
      </c>
      <c r="D117" s="1">
        <v>2011</v>
      </c>
      <c r="E117" s="5">
        <v>3002</v>
      </c>
      <c r="F117" s="1">
        <v>57600</v>
      </c>
      <c r="G117" s="44">
        <f t="shared" si="27"/>
        <v>0</v>
      </c>
      <c r="H117" s="6">
        <v>42.241</v>
      </c>
      <c r="I117" s="6">
        <v>-81.825166666666661</v>
      </c>
      <c r="J117">
        <v>42.261233333333337</v>
      </c>
      <c r="K117">
        <v>-81.829883333333328</v>
      </c>
      <c r="L117">
        <v>41.621000000000002</v>
      </c>
      <c r="M117">
        <v>-81.539483333333337</v>
      </c>
      <c r="N117" s="22">
        <f t="shared" si="38"/>
        <v>2.077582061489695E-2</v>
      </c>
      <c r="O117" s="22">
        <f t="shared" si="39"/>
        <v>0.6826528890618101</v>
      </c>
      <c r="P117" s="22">
        <f t="shared" si="26"/>
        <v>2.077582061489695E-2</v>
      </c>
      <c r="Q117" s="5">
        <v>21.8</v>
      </c>
      <c r="R117" s="5">
        <v>18.399999999999999</v>
      </c>
      <c r="S117" s="5">
        <v>17.3</v>
      </c>
      <c r="T117" s="1">
        <v>5</v>
      </c>
      <c r="U117" s="1">
        <v>0</v>
      </c>
      <c r="V117" s="5">
        <v>2206</v>
      </c>
      <c r="W117" s="5">
        <v>20</v>
      </c>
      <c r="X117" s="5">
        <v>0.97</v>
      </c>
      <c r="Y117">
        <v>2546</v>
      </c>
      <c r="Z117" s="28">
        <f t="shared" si="28"/>
        <v>0</v>
      </c>
      <c r="AA117" s="28">
        <f t="shared" si="29"/>
        <v>0</v>
      </c>
      <c r="AB117" s="28">
        <f t="shared" si="30"/>
        <v>0.5</v>
      </c>
      <c r="AC117" s="28">
        <f t="shared" si="31"/>
        <v>126.7</v>
      </c>
      <c r="AD117" s="28">
        <f t="shared" si="32"/>
        <v>0</v>
      </c>
      <c r="AE117">
        <f t="shared" si="21"/>
        <v>0</v>
      </c>
      <c r="AF117">
        <f t="shared" si="22"/>
        <v>0</v>
      </c>
      <c r="AG117">
        <f t="shared" si="23"/>
        <v>3.927729772191673E-3</v>
      </c>
      <c r="AH117">
        <f t="shared" si="24"/>
        <v>0.99528672427336995</v>
      </c>
      <c r="AI117">
        <f t="shared" si="25"/>
        <v>0</v>
      </c>
      <c r="AJ117">
        <v>0</v>
      </c>
      <c r="AK117">
        <v>0</v>
      </c>
      <c r="AL117">
        <v>10</v>
      </c>
      <c r="AM117">
        <v>2534</v>
      </c>
      <c r="AN117">
        <v>0</v>
      </c>
      <c r="AO117" s="22">
        <f t="shared" si="33"/>
        <v>0</v>
      </c>
      <c r="AP117" s="22">
        <f t="shared" si="34"/>
        <v>0</v>
      </c>
      <c r="AQ117" s="22">
        <f t="shared" si="35"/>
        <v>2.3978952727983707</v>
      </c>
      <c r="AR117" s="22">
        <f t="shared" si="36"/>
        <v>7.8379489160252831</v>
      </c>
      <c r="AS117" s="22">
        <f t="shared" si="37"/>
        <v>0</v>
      </c>
    </row>
    <row r="118" spans="1:45" x14ac:dyDescent="0.25">
      <c r="A118" t="s">
        <v>10</v>
      </c>
      <c r="B118" s="2">
        <v>40731</v>
      </c>
      <c r="C118">
        <v>188</v>
      </c>
      <c r="D118" s="1">
        <v>2011</v>
      </c>
      <c r="E118" s="5">
        <v>3003</v>
      </c>
      <c r="F118" s="1">
        <v>57600</v>
      </c>
      <c r="G118" s="44">
        <f t="shared" si="27"/>
        <v>0</v>
      </c>
      <c r="H118" s="6">
        <v>42.222333333333331</v>
      </c>
      <c r="I118" s="6">
        <v>-81.811666666666667</v>
      </c>
      <c r="J118">
        <v>42.261233333333337</v>
      </c>
      <c r="K118">
        <v>-81.829883333333328</v>
      </c>
      <c r="L118">
        <v>41.621000000000002</v>
      </c>
      <c r="M118">
        <v>-81.539483333333337</v>
      </c>
      <c r="N118" s="22">
        <f t="shared" si="38"/>
        <v>4.2954126046802807E-2</v>
      </c>
      <c r="O118" s="22">
        <f t="shared" si="39"/>
        <v>0.66006480342631202</v>
      </c>
      <c r="P118" s="22">
        <f t="shared" si="26"/>
        <v>4.2954126046802807E-2</v>
      </c>
      <c r="Q118" s="5">
        <v>22.9</v>
      </c>
      <c r="R118" s="5">
        <v>22.6</v>
      </c>
      <c r="S118" s="5">
        <v>19.8</v>
      </c>
      <c r="T118" s="1">
        <v>5</v>
      </c>
      <c r="U118" s="1">
        <v>0</v>
      </c>
      <c r="V118" s="5">
        <v>2305</v>
      </c>
      <c r="W118" s="5">
        <v>20</v>
      </c>
      <c r="X118" s="5">
        <v>0.97</v>
      </c>
      <c r="Y118">
        <v>555</v>
      </c>
      <c r="Z118" s="28">
        <f t="shared" si="28"/>
        <v>0</v>
      </c>
      <c r="AA118" s="28">
        <f t="shared" si="29"/>
        <v>0</v>
      </c>
      <c r="AB118" s="28">
        <f t="shared" si="30"/>
        <v>0</v>
      </c>
      <c r="AC118" s="28">
        <f t="shared" si="31"/>
        <v>27.65</v>
      </c>
      <c r="AD118" s="28">
        <f t="shared" si="32"/>
        <v>0.05</v>
      </c>
      <c r="AE118">
        <f t="shared" si="21"/>
        <v>0</v>
      </c>
      <c r="AF118">
        <f t="shared" si="22"/>
        <v>0</v>
      </c>
      <c r="AG118">
        <f t="shared" si="23"/>
        <v>0</v>
      </c>
      <c r="AH118">
        <f t="shared" si="24"/>
        <v>0.99639639639639643</v>
      </c>
      <c r="AI118">
        <f t="shared" si="25"/>
        <v>1.8018018018018018E-3</v>
      </c>
      <c r="AJ118">
        <v>0</v>
      </c>
      <c r="AK118">
        <v>0</v>
      </c>
      <c r="AL118">
        <v>0</v>
      </c>
      <c r="AM118">
        <v>553</v>
      </c>
      <c r="AN118">
        <v>1</v>
      </c>
      <c r="AO118" s="22">
        <f t="shared" si="33"/>
        <v>0</v>
      </c>
      <c r="AP118" s="22">
        <f t="shared" si="34"/>
        <v>0</v>
      </c>
      <c r="AQ118" s="22">
        <f t="shared" si="35"/>
        <v>0</v>
      </c>
      <c r="AR118" s="22">
        <f t="shared" si="36"/>
        <v>6.3171646867472839</v>
      </c>
      <c r="AS118" s="22">
        <f t="shared" si="37"/>
        <v>0.69314718055994529</v>
      </c>
    </row>
    <row r="119" spans="1:45" x14ac:dyDescent="0.25">
      <c r="A119" t="s">
        <v>10</v>
      </c>
      <c r="B119" s="2">
        <v>40731</v>
      </c>
      <c r="C119">
        <v>188</v>
      </c>
      <c r="D119" s="1">
        <v>2011</v>
      </c>
      <c r="E119" s="5">
        <v>3004</v>
      </c>
      <c r="F119" s="1">
        <v>57600</v>
      </c>
      <c r="G119" s="44">
        <f t="shared" si="27"/>
        <v>0</v>
      </c>
      <c r="H119" s="13">
        <v>42.209166666666668</v>
      </c>
      <c r="I119" s="6">
        <v>-81.80416666666666</v>
      </c>
      <c r="J119">
        <v>42.261233333333337</v>
      </c>
      <c r="K119">
        <v>-81.829883333333328</v>
      </c>
      <c r="L119">
        <v>41.621000000000002</v>
      </c>
      <c r="M119">
        <v>-81.539483333333337</v>
      </c>
      <c r="N119" s="22">
        <f t="shared" si="38"/>
        <v>5.8071376100644161E-2</v>
      </c>
      <c r="O119" s="22">
        <f t="shared" si="39"/>
        <v>0.64497852268290012</v>
      </c>
      <c r="P119" s="22">
        <f t="shared" si="26"/>
        <v>5.8071376100644161E-2</v>
      </c>
      <c r="Q119" s="5">
        <v>22.8</v>
      </c>
      <c r="R119" s="5">
        <v>16.600000000000001</v>
      </c>
      <c r="S119" s="5">
        <v>20.7</v>
      </c>
      <c r="T119" s="21">
        <v>8</v>
      </c>
      <c r="U119" s="47">
        <v>0</v>
      </c>
      <c r="V119" s="5">
        <v>2343</v>
      </c>
      <c r="W119" s="5">
        <v>20</v>
      </c>
      <c r="X119" s="5">
        <v>0.99</v>
      </c>
      <c r="Y119">
        <v>830</v>
      </c>
      <c r="Z119" s="28">
        <f t="shared" si="28"/>
        <v>0</v>
      </c>
      <c r="AA119" s="28">
        <f t="shared" si="29"/>
        <v>0.3</v>
      </c>
      <c r="AB119" s="28">
        <f t="shared" si="30"/>
        <v>0.15</v>
      </c>
      <c r="AC119" s="28">
        <f t="shared" si="31"/>
        <v>40.9</v>
      </c>
      <c r="AD119" s="28">
        <f t="shared" si="32"/>
        <v>0</v>
      </c>
      <c r="AE119">
        <f t="shared" ref="AE119:AE182" si="40">AJ119/$Y119</f>
        <v>0</v>
      </c>
      <c r="AF119">
        <f t="shared" ref="AF119:AF182" si="41">AK119/$Y119</f>
        <v>7.2289156626506026E-3</v>
      </c>
      <c r="AG119">
        <f t="shared" ref="AG119:AG182" si="42">AL119/$Y119</f>
        <v>3.6144578313253013E-3</v>
      </c>
      <c r="AH119">
        <f t="shared" ref="AH119:AH182" si="43">AM119/$Y119</f>
        <v>0.98554216867469879</v>
      </c>
      <c r="AI119">
        <f t="shared" ref="AI119:AI182" si="44">AN119/$Y119</f>
        <v>0</v>
      </c>
      <c r="AJ119">
        <v>0</v>
      </c>
      <c r="AK119">
        <v>6</v>
      </c>
      <c r="AL119">
        <v>3</v>
      </c>
      <c r="AM119">
        <v>818</v>
      </c>
      <c r="AN119">
        <v>0</v>
      </c>
      <c r="AO119" s="22">
        <f t="shared" si="33"/>
        <v>0</v>
      </c>
      <c r="AP119" s="22">
        <f t="shared" si="34"/>
        <v>1.9459101490553132</v>
      </c>
      <c r="AQ119" s="22">
        <f t="shared" si="35"/>
        <v>1.3862943611198906</v>
      </c>
      <c r="AR119" s="22">
        <f t="shared" si="36"/>
        <v>6.7080840838530698</v>
      </c>
      <c r="AS119" s="22">
        <f t="shared" si="37"/>
        <v>0</v>
      </c>
    </row>
    <row r="120" spans="1:45" x14ac:dyDescent="0.25">
      <c r="A120" t="s">
        <v>10</v>
      </c>
      <c r="B120" s="2">
        <v>40731</v>
      </c>
      <c r="C120">
        <v>188</v>
      </c>
      <c r="D120" s="1">
        <v>2011</v>
      </c>
      <c r="E120" s="5">
        <v>3005</v>
      </c>
      <c r="F120" s="1">
        <v>57600</v>
      </c>
      <c r="G120" s="44">
        <f t="shared" si="27"/>
        <v>0</v>
      </c>
      <c r="H120" s="6">
        <v>42.222333333333331</v>
      </c>
      <c r="I120" s="6">
        <v>-81.80716666666666</v>
      </c>
      <c r="J120">
        <v>42.261233333333337</v>
      </c>
      <c r="K120">
        <v>-81.829883333333328</v>
      </c>
      <c r="L120">
        <v>41.621000000000002</v>
      </c>
      <c r="M120">
        <v>-81.539483333333337</v>
      </c>
      <c r="N120" s="22">
        <f t="shared" si="38"/>
        <v>4.5047274550686155E-2</v>
      </c>
      <c r="O120" s="22">
        <f t="shared" si="39"/>
        <v>0.65822195703441255</v>
      </c>
      <c r="P120" s="22">
        <f t="shared" si="26"/>
        <v>4.5047274550686155E-2</v>
      </c>
      <c r="Q120" s="5">
        <v>22.8</v>
      </c>
      <c r="R120" s="5">
        <v>17.2</v>
      </c>
      <c r="S120" s="5">
        <v>20</v>
      </c>
      <c r="T120" s="1">
        <v>7</v>
      </c>
      <c r="U120" s="47">
        <v>0</v>
      </c>
      <c r="V120" s="5">
        <v>2416</v>
      </c>
      <c r="W120" s="5">
        <v>20</v>
      </c>
      <c r="X120" s="5">
        <v>0.97</v>
      </c>
      <c r="Y120">
        <v>1759</v>
      </c>
      <c r="Z120" s="28">
        <f t="shared" si="28"/>
        <v>0</v>
      </c>
      <c r="AA120" s="28">
        <f t="shared" si="29"/>
        <v>0.9</v>
      </c>
      <c r="AB120" s="28">
        <f t="shared" si="30"/>
        <v>0</v>
      </c>
      <c r="AC120" s="28">
        <f t="shared" si="31"/>
        <v>86.65</v>
      </c>
      <c r="AD120" s="28">
        <f t="shared" si="32"/>
        <v>0.05</v>
      </c>
      <c r="AE120">
        <f t="shared" si="40"/>
        <v>0</v>
      </c>
      <c r="AF120">
        <f t="shared" si="41"/>
        <v>1.023308698123934E-2</v>
      </c>
      <c r="AG120">
        <f t="shared" si="42"/>
        <v>0</v>
      </c>
      <c r="AH120">
        <f t="shared" si="43"/>
        <v>0.9852188743604321</v>
      </c>
      <c r="AI120">
        <f t="shared" si="44"/>
        <v>5.6850483229107444E-4</v>
      </c>
      <c r="AJ120">
        <v>0</v>
      </c>
      <c r="AK120">
        <v>18</v>
      </c>
      <c r="AL120">
        <v>0</v>
      </c>
      <c r="AM120">
        <v>1733</v>
      </c>
      <c r="AN120">
        <v>1</v>
      </c>
      <c r="AO120" s="22">
        <f t="shared" si="33"/>
        <v>0</v>
      </c>
      <c r="AP120" s="22">
        <f t="shared" si="34"/>
        <v>2.9444389791664403</v>
      </c>
      <c r="AQ120" s="22">
        <f t="shared" si="35"/>
        <v>0</v>
      </c>
      <c r="AR120" s="22">
        <f t="shared" si="36"/>
        <v>7.4581861573404868</v>
      </c>
      <c r="AS120" s="22">
        <f t="shared" si="37"/>
        <v>0.69314718055994529</v>
      </c>
    </row>
    <row r="121" spans="1:45" x14ac:dyDescent="0.25">
      <c r="A121" t="s">
        <v>10</v>
      </c>
      <c r="B121" s="2">
        <v>40735</v>
      </c>
      <c r="C121">
        <v>192</v>
      </c>
      <c r="D121" s="1">
        <v>2011</v>
      </c>
      <c r="E121" s="5">
        <v>4001</v>
      </c>
      <c r="F121" s="1">
        <v>57350</v>
      </c>
      <c r="G121" s="44">
        <f t="shared" si="27"/>
        <v>0</v>
      </c>
      <c r="H121" s="6">
        <v>41.910833333333336</v>
      </c>
      <c r="I121" s="6">
        <v>-82.13933333333334</v>
      </c>
      <c r="J121">
        <v>42.1434</v>
      </c>
      <c r="K121">
        <v>-82.285266666666672</v>
      </c>
      <c r="L121">
        <v>41.52558333333333</v>
      </c>
      <c r="M121">
        <v>-81.97645</v>
      </c>
      <c r="N121" s="22">
        <f t="shared" si="38"/>
        <v>0.27456109014610997</v>
      </c>
      <c r="O121" s="22">
        <f t="shared" si="39"/>
        <v>0.41826850560110895</v>
      </c>
      <c r="P121" s="22">
        <f t="shared" si="26"/>
        <v>0.27456109014610997</v>
      </c>
      <c r="Q121" s="5">
        <v>24.2</v>
      </c>
      <c r="R121" s="5">
        <v>7.82</v>
      </c>
      <c r="S121" s="5">
        <v>21.9</v>
      </c>
      <c r="T121" s="1">
        <v>15</v>
      </c>
      <c r="U121" s="1">
        <v>0</v>
      </c>
      <c r="V121" s="5">
        <v>2147</v>
      </c>
      <c r="W121" s="5">
        <v>20</v>
      </c>
      <c r="X121" s="5">
        <v>0.99</v>
      </c>
      <c r="Y121">
        <v>251</v>
      </c>
      <c r="Z121" s="28">
        <f t="shared" si="28"/>
        <v>0</v>
      </c>
      <c r="AA121" s="28">
        <f t="shared" si="29"/>
        <v>0</v>
      </c>
      <c r="AB121" s="28">
        <f t="shared" si="30"/>
        <v>1.1499999999999999</v>
      </c>
      <c r="AC121" s="28">
        <f t="shared" si="31"/>
        <v>11.4</v>
      </c>
      <c r="AD121" s="28">
        <f t="shared" si="32"/>
        <v>0</v>
      </c>
      <c r="AE121">
        <f t="shared" si="40"/>
        <v>0</v>
      </c>
      <c r="AF121">
        <f t="shared" si="41"/>
        <v>0</v>
      </c>
      <c r="AG121">
        <f t="shared" si="42"/>
        <v>9.1633466135458169E-2</v>
      </c>
      <c r="AH121">
        <f t="shared" si="43"/>
        <v>0.9083665338645418</v>
      </c>
      <c r="AI121">
        <f t="shared" si="44"/>
        <v>0</v>
      </c>
      <c r="AJ121">
        <v>0</v>
      </c>
      <c r="AK121">
        <v>0</v>
      </c>
      <c r="AL121">
        <v>23</v>
      </c>
      <c r="AM121">
        <v>228</v>
      </c>
      <c r="AN121">
        <v>0</v>
      </c>
      <c r="AO121" s="22">
        <f t="shared" si="33"/>
        <v>0</v>
      </c>
      <c r="AP121" s="22">
        <f t="shared" si="34"/>
        <v>0</v>
      </c>
      <c r="AQ121" s="22">
        <f t="shared" si="35"/>
        <v>3.1780538303479458</v>
      </c>
      <c r="AR121" s="22">
        <f t="shared" si="36"/>
        <v>5.43372200355424</v>
      </c>
      <c r="AS121" s="22">
        <f t="shared" si="37"/>
        <v>0</v>
      </c>
    </row>
    <row r="122" spans="1:45" x14ac:dyDescent="0.25">
      <c r="A122" t="s">
        <v>10</v>
      </c>
      <c r="B122" s="2">
        <v>40735</v>
      </c>
      <c r="C122">
        <v>192</v>
      </c>
      <c r="D122" s="1">
        <v>2011</v>
      </c>
      <c r="E122" s="5">
        <v>4002</v>
      </c>
      <c r="F122" s="1">
        <v>57350</v>
      </c>
      <c r="G122" s="44">
        <f t="shared" si="27"/>
        <v>0</v>
      </c>
      <c r="H122" s="6">
        <v>41.908833333333334</v>
      </c>
      <c r="I122" s="6">
        <v>-82.13966666666667</v>
      </c>
      <c r="J122">
        <v>42.1434</v>
      </c>
      <c r="K122">
        <v>-82.285266666666672</v>
      </c>
      <c r="L122">
        <v>41.52558333333333</v>
      </c>
      <c r="M122">
        <v>-81.97645</v>
      </c>
      <c r="N122" s="22">
        <f t="shared" si="38"/>
        <v>0.27608129438828566</v>
      </c>
      <c r="O122" s="22">
        <f t="shared" si="39"/>
        <v>0.4165576103947472</v>
      </c>
      <c r="P122" s="22">
        <f t="shared" si="26"/>
        <v>0.27608129438828566</v>
      </c>
      <c r="Q122" s="5">
        <v>24.2</v>
      </c>
      <c r="R122" s="5">
        <v>24.7</v>
      </c>
      <c r="S122" s="5">
        <v>21.9</v>
      </c>
      <c r="T122" s="1">
        <v>5</v>
      </c>
      <c r="U122" s="1">
        <v>0</v>
      </c>
      <c r="V122" s="5">
        <v>2241</v>
      </c>
      <c r="W122" s="5">
        <v>20</v>
      </c>
      <c r="X122" s="5">
        <v>1.01</v>
      </c>
      <c r="Y122">
        <v>245</v>
      </c>
      <c r="Z122" s="28">
        <f t="shared" si="28"/>
        <v>0</v>
      </c>
      <c r="AA122" s="28">
        <f t="shared" si="29"/>
        <v>0.05</v>
      </c>
      <c r="AB122" s="28">
        <f t="shared" si="30"/>
        <v>0</v>
      </c>
      <c r="AC122" s="28">
        <f t="shared" si="31"/>
        <v>12.15</v>
      </c>
      <c r="AD122" s="28">
        <f t="shared" si="32"/>
        <v>0</v>
      </c>
      <c r="AE122">
        <f t="shared" si="40"/>
        <v>0</v>
      </c>
      <c r="AF122">
        <f t="shared" si="41"/>
        <v>4.0816326530612249E-3</v>
      </c>
      <c r="AG122">
        <f t="shared" si="42"/>
        <v>0</v>
      </c>
      <c r="AH122">
        <f t="shared" si="43"/>
        <v>0.99183673469387756</v>
      </c>
      <c r="AI122">
        <f t="shared" si="44"/>
        <v>0</v>
      </c>
      <c r="AJ122">
        <v>0</v>
      </c>
      <c r="AK122">
        <v>1</v>
      </c>
      <c r="AL122">
        <v>0</v>
      </c>
      <c r="AM122">
        <v>243</v>
      </c>
      <c r="AN122">
        <v>0</v>
      </c>
      <c r="AO122" s="22">
        <f t="shared" si="33"/>
        <v>0</v>
      </c>
      <c r="AP122" s="22">
        <f t="shared" si="34"/>
        <v>0.69314718055994529</v>
      </c>
      <c r="AQ122" s="22">
        <f t="shared" si="35"/>
        <v>0</v>
      </c>
      <c r="AR122" s="22">
        <f t="shared" si="36"/>
        <v>5.4971682252932021</v>
      </c>
      <c r="AS122" s="22">
        <f t="shared" si="37"/>
        <v>0</v>
      </c>
    </row>
    <row r="123" spans="1:45" x14ac:dyDescent="0.25">
      <c r="A123" t="s">
        <v>10</v>
      </c>
      <c r="B123" s="2">
        <v>40735</v>
      </c>
      <c r="C123">
        <v>192</v>
      </c>
      <c r="D123" s="1">
        <v>2011</v>
      </c>
      <c r="E123" s="5">
        <v>4003</v>
      </c>
      <c r="F123" s="1">
        <v>57350</v>
      </c>
      <c r="G123" s="44">
        <f t="shared" si="27"/>
        <v>0</v>
      </c>
      <c r="H123" s="13">
        <v>42.052500000000002</v>
      </c>
      <c r="I123" s="6">
        <v>-82.214833333333331</v>
      </c>
      <c r="J123">
        <v>42.1434</v>
      </c>
      <c r="K123">
        <v>-82.285266666666672</v>
      </c>
      <c r="L123">
        <v>41.52558333333333</v>
      </c>
      <c r="M123">
        <v>-81.97645</v>
      </c>
      <c r="N123" s="22">
        <f t="shared" si="38"/>
        <v>0.11499419309010826</v>
      </c>
      <c r="O123" s="22">
        <f t="shared" si="39"/>
        <v>0.57833190057459827</v>
      </c>
      <c r="P123" s="22">
        <f t="shared" si="26"/>
        <v>0.11499419309010826</v>
      </c>
      <c r="Q123" s="5">
        <v>24.4</v>
      </c>
      <c r="R123" s="5">
        <v>8.52</v>
      </c>
      <c r="S123" s="5">
        <v>21.1</v>
      </c>
      <c r="T123" s="21">
        <v>14</v>
      </c>
      <c r="U123" s="21">
        <v>0</v>
      </c>
      <c r="V123" s="5">
        <v>2424</v>
      </c>
      <c r="W123" s="5">
        <v>20</v>
      </c>
      <c r="X123" s="5">
        <v>0.94</v>
      </c>
      <c r="Y123">
        <v>33</v>
      </c>
      <c r="Z123" s="28">
        <f t="shared" si="28"/>
        <v>0</v>
      </c>
      <c r="AA123" s="28">
        <f t="shared" si="29"/>
        <v>0.3</v>
      </c>
      <c r="AB123" s="28">
        <f t="shared" si="30"/>
        <v>0.2</v>
      </c>
      <c r="AC123" s="28">
        <f t="shared" si="31"/>
        <v>1.05</v>
      </c>
      <c r="AD123" s="28">
        <f t="shared" si="32"/>
        <v>0.05</v>
      </c>
      <c r="AE123">
        <f t="shared" si="40"/>
        <v>0</v>
      </c>
      <c r="AF123">
        <f t="shared" si="41"/>
        <v>0.18181818181818182</v>
      </c>
      <c r="AG123">
        <f t="shared" si="42"/>
        <v>0.12121212121212122</v>
      </c>
      <c r="AH123">
        <f t="shared" si="43"/>
        <v>0.63636363636363635</v>
      </c>
      <c r="AI123">
        <f t="shared" si="44"/>
        <v>3.0303030303030304E-2</v>
      </c>
      <c r="AJ123">
        <v>0</v>
      </c>
      <c r="AK123">
        <v>6</v>
      </c>
      <c r="AL123">
        <v>4</v>
      </c>
      <c r="AM123">
        <v>21</v>
      </c>
      <c r="AN123">
        <v>1</v>
      </c>
      <c r="AO123" s="22">
        <f t="shared" si="33"/>
        <v>0</v>
      </c>
      <c r="AP123" s="22">
        <f t="shared" si="34"/>
        <v>1.9459101490553132</v>
      </c>
      <c r="AQ123" s="22">
        <f t="shared" si="35"/>
        <v>1.6094379124341003</v>
      </c>
      <c r="AR123" s="22">
        <f t="shared" si="36"/>
        <v>3.0910424533583161</v>
      </c>
      <c r="AS123" s="22">
        <f t="shared" si="37"/>
        <v>0.69314718055994529</v>
      </c>
    </row>
    <row r="124" spans="1:45" x14ac:dyDescent="0.25">
      <c r="A124" t="s">
        <v>10</v>
      </c>
      <c r="B124" s="2">
        <v>40735</v>
      </c>
      <c r="C124">
        <v>192</v>
      </c>
      <c r="D124" s="1">
        <v>2011</v>
      </c>
      <c r="E124" s="5">
        <v>4004</v>
      </c>
      <c r="F124" s="1">
        <v>57350</v>
      </c>
      <c r="G124" s="44">
        <f t="shared" si="27"/>
        <v>0</v>
      </c>
      <c r="H124" s="6">
        <v>42.058666666666667</v>
      </c>
      <c r="I124" s="6">
        <v>-82.217666666666673</v>
      </c>
      <c r="J124">
        <v>42.1434</v>
      </c>
      <c r="K124">
        <v>-82.285266666666672</v>
      </c>
      <c r="L124">
        <v>41.52558333333333</v>
      </c>
      <c r="M124">
        <v>-81.97645</v>
      </c>
      <c r="N124" s="22">
        <f t="shared" si="38"/>
        <v>0.10839510034027119</v>
      </c>
      <c r="O124" s="22">
        <f t="shared" si="39"/>
        <v>0.58511821075365889</v>
      </c>
      <c r="P124" s="22">
        <f t="shared" si="26"/>
        <v>0.10839510034027119</v>
      </c>
      <c r="Q124" s="5">
        <v>24.3</v>
      </c>
      <c r="R124" s="5">
        <v>24.1</v>
      </c>
      <c r="S124" s="5">
        <v>21.2</v>
      </c>
      <c r="T124" s="1">
        <v>5</v>
      </c>
      <c r="U124" s="47">
        <v>0</v>
      </c>
      <c r="V124" s="5">
        <v>2515</v>
      </c>
      <c r="W124" s="5">
        <v>20</v>
      </c>
      <c r="X124" s="5">
        <v>1.01</v>
      </c>
      <c r="Y124">
        <v>176</v>
      </c>
      <c r="Z124" s="28">
        <f t="shared" si="28"/>
        <v>0</v>
      </c>
      <c r="AA124" s="28">
        <f t="shared" si="29"/>
        <v>0</v>
      </c>
      <c r="AB124" s="28">
        <f t="shared" si="30"/>
        <v>0</v>
      </c>
      <c r="AC124" s="28">
        <f t="shared" si="31"/>
        <v>8.4499999999999993</v>
      </c>
      <c r="AD124" s="28">
        <f t="shared" si="32"/>
        <v>0</v>
      </c>
      <c r="AE124">
        <f t="shared" si="40"/>
        <v>0</v>
      </c>
      <c r="AF124">
        <f t="shared" si="41"/>
        <v>0</v>
      </c>
      <c r="AG124">
        <f t="shared" si="42"/>
        <v>0</v>
      </c>
      <c r="AH124">
        <f t="shared" si="43"/>
        <v>0.96022727272727271</v>
      </c>
      <c r="AI124">
        <f t="shared" si="44"/>
        <v>0</v>
      </c>
      <c r="AJ124">
        <v>0</v>
      </c>
      <c r="AK124">
        <v>0</v>
      </c>
      <c r="AL124">
        <v>0</v>
      </c>
      <c r="AM124">
        <v>169</v>
      </c>
      <c r="AN124">
        <v>0</v>
      </c>
      <c r="AO124" s="22">
        <f t="shared" si="33"/>
        <v>0</v>
      </c>
      <c r="AP124" s="22">
        <f t="shared" si="34"/>
        <v>0</v>
      </c>
      <c r="AQ124" s="22">
        <f t="shared" si="35"/>
        <v>0</v>
      </c>
      <c r="AR124" s="22">
        <f t="shared" si="36"/>
        <v>5.1357984370502621</v>
      </c>
      <c r="AS124" s="22">
        <f t="shared" si="37"/>
        <v>0</v>
      </c>
    </row>
    <row r="125" spans="1:45" x14ac:dyDescent="0.25">
      <c r="A125" t="s">
        <v>10</v>
      </c>
      <c r="B125" s="2">
        <v>40735</v>
      </c>
      <c r="C125">
        <v>192</v>
      </c>
      <c r="D125" s="1">
        <v>2011</v>
      </c>
      <c r="E125" s="5">
        <v>4005</v>
      </c>
      <c r="F125" s="1">
        <v>57350</v>
      </c>
      <c r="G125" s="44">
        <f t="shared" si="27"/>
        <v>0</v>
      </c>
      <c r="H125" s="6">
        <v>42.153833333333331</v>
      </c>
      <c r="I125" s="6">
        <v>-82.26</v>
      </c>
      <c r="J125">
        <v>42.1434</v>
      </c>
      <c r="K125">
        <v>-82.285266666666672</v>
      </c>
      <c r="L125">
        <v>41.52558333333333</v>
      </c>
      <c r="M125">
        <v>-81.97645</v>
      </c>
      <c r="N125" s="22">
        <f t="shared" si="38"/>
        <v>2.7336036451703592E-2</v>
      </c>
      <c r="O125" s="22">
        <f t="shared" si="39"/>
        <v>0.68927401300208946</v>
      </c>
      <c r="P125" s="22">
        <f t="shared" si="26"/>
        <v>2.7336036451703592E-2</v>
      </c>
      <c r="Q125" s="5">
        <v>21.4</v>
      </c>
      <c r="R125" s="5">
        <v>9.74</v>
      </c>
      <c r="S125" s="5">
        <v>12.7</v>
      </c>
      <c r="T125" s="1">
        <v>6</v>
      </c>
      <c r="U125" s="47">
        <v>0</v>
      </c>
      <c r="V125" s="5">
        <v>2638</v>
      </c>
      <c r="W125" s="5">
        <v>20</v>
      </c>
      <c r="X125" s="5">
        <v>1.05</v>
      </c>
      <c r="Y125">
        <v>3134</v>
      </c>
      <c r="Z125" s="28">
        <f t="shared" si="28"/>
        <v>0</v>
      </c>
      <c r="AA125" s="28">
        <f t="shared" si="29"/>
        <v>0</v>
      </c>
      <c r="AB125" s="28">
        <f t="shared" si="30"/>
        <v>0.35</v>
      </c>
      <c r="AC125" s="28">
        <f t="shared" si="31"/>
        <v>156</v>
      </c>
      <c r="AD125" s="28">
        <f t="shared" si="32"/>
        <v>0</v>
      </c>
      <c r="AE125">
        <f t="shared" si="40"/>
        <v>0</v>
      </c>
      <c r="AF125">
        <f t="shared" si="41"/>
        <v>0</v>
      </c>
      <c r="AG125">
        <f t="shared" si="42"/>
        <v>2.2335673261008296E-3</v>
      </c>
      <c r="AH125">
        <f t="shared" si="43"/>
        <v>0.99553286534779839</v>
      </c>
      <c r="AI125">
        <f t="shared" si="44"/>
        <v>0</v>
      </c>
      <c r="AJ125">
        <v>0</v>
      </c>
      <c r="AK125">
        <v>0</v>
      </c>
      <c r="AL125">
        <v>7</v>
      </c>
      <c r="AM125">
        <v>3120</v>
      </c>
      <c r="AN125">
        <v>0</v>
      </c>
      <c r="AO125" s="22">
        <f t="shared" si="33"/>
        <v>0</v>
      </c>
      <c r="AP125" s="22">
        <f t="shared" si="34"/>
        <v>0</v>
      </c>
      <c r="AQ125" s="22">
        <f t="shared" si="35"/>
        <v>2.0794415416798357</v>
      </c>
      <c r="AR125" s="22">
        <f t="shared" si="36"/>
        <v>8.0459087422707789</v>
      </c>
      <c r="AS125" s="22">
        <f t="shared" si="37"/>
        <v>0</v>
      </c>
    </row>
    <row r="126" spans="1:45" x14ac:dyDescent="0.25">
      <c r="A126" s="1" t="s">
        <v>8</v>
      </c>
      <c r="B126" s="2">
        <v>41109</v>
      </c>
      <c r="C126">
        <v>2194</v>
      </c>
      <c r="D126" s="1">
        <v>2012</v>
      </c>
      <c r="E126" s="1">
        <v>730</v>
      </c>
      <c r="F126" s="1">
        <v>57475</v>
      </c>
      <c r="G126" s="44">
        <f t="shared" si="27"/>
        <v>0</v>
      </c>
      <c r="H126" s="6">
        <v>41.867666666666665</v>
      </c>
      <c r="I126" s="6">
        <v>-81.89233333333334</v>
      </c>
      <c r="J126">
        <v>42.228400000000001</v>
      </c>
      <c r="K126">
        <v>-82.098483333333334</v>
      </c>
      <c r="L126">
        <v>41.508116666666666</v>
      </c>
      <c r="M126">
        <v>-81.739649999999997</v>
      </c>
      <c r="N126" s="22">
        <f t="shared" si="38"/>
        <v>0.41548328519662137</v>
      </c>
      <c r="O126" s="22">
        <f t="shared" si="39"/>
        <v>0.390625655555008</v>
      </c>
      <c r="P126" s="22">
        <f t="shared" si="26"/>
        <v>0.390625655555008</v>
      </c>
      <c r="Q126" s="1"/>
      <c r="R126" s="1"/>
      <c r="S126" s="40">
        <v>22.86</v>
      </c>
      <c r="T126" s="1">
        <v>14</v>
      </c>
      <c r="U126" s="1">
        <v>1</v>
      </c>
      <c r="V126" s="1">
        <v>2600</v>
      </c>
      <c r="W126" s="41">
        <v>20</v>
      </c>
      <c r="X126" s="42">
        <v>1.8</v>
      </c>
      <c r="Y126">
        <v>378</v>
      </c>
      <c r="Z126" s="28">
        <f t="shared" si="28"/>
        <v>0</v>
      </c>
      <c r="AA126" s="28">
        <f t="shared" si="29"/>
        <v>3.3</v>
      </c>
      <c r="AB126" s="28">
        <f t="shared" si="30"/>
        <v>7.1</v>
      </c>
      <c r="AC126" s="28">
        <f t="shared" si="31"/>
        <v>5.8</v>
      </c>
      <c r="AD126" s="28">
        <f t="shared" si="32"/>
        <v>2.25</v>
      </c>
      <c r="AE126">
        <f t="shared" si="40"/>
        <v>0</v>
      </c>
      <c r="AF126">
        <f t="shared" si="41"/>
        <v>0.17460317460317459</v>
      </c>
      <c r="AG126">
        <f t="shared" si="42"/>
        <v>0.37566137566137564</v>
      </c>
      <c r="AH126">
        <f t="shared" si="43"/>
        <v>0.30687830687830686</v>
      </c>
      <c r="AI126">
        <f t="shared" si="44"/>
        <v>0.11904761904761904</v>
      </c>
      <c r="AJ126">
        <v>0</v>
      </c>
      <c r="AK126">
        <v>66</v>
      </c>
      <c r="AL126">
        <v>142</v>
      </c>
      <c r="AM126">
        <v>116</v>
      </c>
      <c r="AN126">
        <v>45</v>
      </c>
      <c r="AO126" s="22">
        <f t="shared" si="33"/>
        <v>0</v>
      </c>
      <c r="AP126" s="22">
        <f t="shared" si="34"/>
        <v>4.2046926193909657</v>
      </c>
      <c r="AQ126" s="22">
        <f t="shared" si="35"/>
        <v>4.962844630259907</v>
      </c>
      <c r="AR126" s="22">
        <f t="shared" si="36"/>
        <v>4.7621739347977563</v>
      </c>
      <c r="AS126" s="22">
        <f t="shared" si="37"/>
        <v>3.8286413964890951</v>
      </c>
    </row>
    <row r="127" spans="1:45" x14ac:dyDescent="0.25">
      <c r="A127" s="1" t="s">
        <v>8</v>
      </c>
      <c r="B127" s="2">
        <v>41109</v>
      </c>
      <c r="C127">
        <v>2194</v>
      </c>
      <c r="D127" s="1">
        <v>2012</v>
      </c>
      <c r="E127" s="1">
        <v>731</v>
      </c>
      <c r="F127" s="1">
        <v>57475</v>
      </c>
      <c r="G127" s="44">
        <f t="shared" si="27"/>
        <v>0</v>
      </c>
      <c r="H127" s="6">
        <v>41.798333333333332</v>
      </c>
      <c r="I127" s="6">
        <v>-81.859499999999997</v>
      </c>
      <c r="J127">
        <v>42.228400000000001</v>
      </c>
      <c r="K127">
        <v>-82.098483333333334</v>
      </c>
      <c r="L127">
        <v>41.508116666666666</v>
      </c>
      <c r="M127">
        <v>-81.739649999999997</v>
      </c>
      <c r="N127" s="22">
        <f t="shared" si="38"/>
        <v>0.49200647494610511</v>
      </c>
      <c r="O127" s="22">
        <f t="shared" si="39"/>
        <v>0.31399002549620991</v>
      </c>
      <c r="P127" s="22">
        <f t="shared" si="26"/>
        <v>0.31399002549620991</v>
      </c>
      <c r="Q127" s="1"/>
      <c r="R127" s="1"/>
      <c r="S127" s="40">
        <v>21.945600000000002</v>
      </c>
      <c r="T127" s="1">
        <v>10</v>
      </c>
      <c r="U127" s="1">
        <v>0</v>
      </c>
      <c r="V127" s="1">
        <v>2704</v>
      </c>
      <c r="W127" s="41">
        <v>20</v>
      </c>
      <c r="X127" s="42">
        <v>1.8</v>
      </c>
      <c r="Y127">
        <v>90</v>
      </c>
      <c r="Z127" s="28">
        <f t="shared" si="28"/>
        <v>0</v>
      </c>
      <c r="AA127" s="28">
        <f t="shared" si="29"/>
        <v>0.1</v>
      </c>
      <c r="AB127" s="28">
        <f t="shared" si="30"/>
        <v>0.1</v>
      </c>
      <c r="AC127" s="28">
        <f t="shared" si="31"/>
        <v>2</v>
      </c>
      <c r="AD127" s="28">
        <f t="shared" si="32"/>
        <v>0.1</v>
      </c>
      <c r="AE127">
        <f t="shared" si="40"/>
        <v>0</v>
      </c>
      <c r="AF127">
        <f t="shared" si="41"/>
        <v>2.2222222222222223E-2</v>
      </c>
      <c r="AG127">
        <f t="shared" si="42"/>
        <v>2.2222222222222223E-2</v>
      </c>
      <c r="AH127">
        <f t="shared" si="43"/>
        <v>0.44444444444444442</v>
      </c>
      <c r="AI127">
        <f t="shared" si="44"/>
        <v>2.2222222222222223E-2</v>
      </c>
      <c r="AJ127">
        <v>0</v>
      </c>
      <c r="AK127">
        <v>2</v>
      </c>
      <c r="AL127">
        <v>2</v>
      </c>
      <c r="AM127">
        <v>40</v>
      </c>
      <c r="AN127">
        <v>2</v>
      </c>
      <c r="AO127" s="22">
        <f t="shared" si="33"/>
        <v>0</v>
      </c>
      <c r="AP127" s="22">
        <f t="shared" si="34"/>
        <v>1.0986122886681098</v>
      </c>
      <c r="AQ127" s="22">
        <f t="shared" si="35"/>
        <v>1.0986122886681098</v>
      </c>
      <c r="AR127" s="22">
        <f t="shared" si="36"/>
        <v>3.713572066704308</v>
      </c>
      <c r="AS127" s="22">
        <f t="shared" si="37"/>
        <v>1.0986122886681098</v>
      </c>
    </row>
    <row r="128" spans="1:45" x14ac:dyDescent="0.25">
      <c r="A128" s="1" t="s">
        <v>8</v>
      </c>
      <c r="B128" s="2">
        <v>41109</v>
      </c>
      <c r="C128">
        <v>2194</v>
      </c>
      <c r="D128" s="1">
        <v>2012</v>
      </c>
      <c r="E128" s="1">
        <v>732</v>
      </c>
      <c r="F128" s="1">
        <v>57475</v>
      </c>
      <c r="G128" s="44">
        <f t="shared" si="27"/>
        <v>0</v>
      </c>
      <c r="H128" s="6">
        <v>41.735166666666665</v>
      </c>
      <c r="I128" s="6">
        <v>-81.826166666666666</v>
      </c>
      <c r="J128">
        <v>42.228400000000001</v>
      </c>
      <c r="K128">
        <v>-82.098483333333334</v>
      </c>
      <c r="L128">
        <v>41.508116666666666</v>
      </c>
      <c r="M128">
        <v>-81.739649999999997</v>
      </c>
      <c r="N128" s="22">
        <f t="shared" si="38"/>
        <v>0.56341413547723429</v>
      </c>
      <c r="O128" s="22">
        <f t="shared" si="39"/>
        <v>0.24297497013295555</v>
      </c>
      <c r="P128" s="22">
        <f t="shared" si="26"/>
        <v>0.24297497013295555</v>
      </c>
      <c r="Q128" s="1"/>
      <c r="R128" s="1"/>
      <c r="S128" s="40">
        <v>21.031200000000002</v>
      </c>
      <c r="T128" s="1">
        <v>3</v>
      </c>
      <c r="U128" s="1">
        <v>0</v>
      </c>
      <c r="V128" s="1">
        <v>2804</v>
      </c>
      <c r="W128" s="41">
        <v>20</v>
      </c>
      <c r="X128" s="42">
        <v>1.8</v>
      </c>
      <c r="Y128">
        <v>282</v>
      </c>
      <c r="Z128" s="28">
        <f t="shared" si="28"/>
        <v>0.05</v>
      </c>
      <c r="AA128" s="28">
        <f t="shared" si="29"/>
        <v>0</v>
      </c>
      <c r="AB128" s="28">
        <f t="shared" si="30"/>
        <v>0</v>
      </c>
      <c r="AC128" s="28">
        <f t="shared" si="31"/>
        <v>11.65</v>
      </c>
      <c r="AD128" s="28">
        <f t="shared" si="32"/>
        <v>0.1</v>
      </c>
      <c r="AE128">
        <f t="shared" si="40"/>
        <v>3.5460992907801418E-3</v>
      </c>
      <c r="AF128">
        <f t="shared" si="41"/>
        <v>0</v>
      </c>
      <c r="AG128">
        <f t="shared" si="42"/>
        <v>0</v>
      </c>
      <c r="AH128">
        <f t="shared" si="43"/>
        <v>0.82624113475177308</v>
      </c>
      <c r="AI128">
        <f t="shared" si="44"/>
        <v>7.0921985815602835E-3</v>
      </c>
      <c r="AJ128">
        <v>1</v>
      </c>
      <c r="AK128">
        <v>0</v>
      </c>
      <c r="AL128">
        <v>0</v>
      </c>
      <c r="AM128">
        <v>233</v>
      </c>
      <c r="AN128">
        <v>2</v>
      </c>
      <c r="AO128" s="22">
        <f t="shared" si="33"/>
        <v>0.69314718055994529</v>
      </c>
      <c r="AP128" s="22">
        <f t="shared" si="34"/>
        <v>0</v>
      </c>
      <c r="AQ128" s="22">
        <f t="shared" si="35"/>
        <v>0</v>
      </c>
      <c r="AR128" s="22">
        <f t="shared" si="36"/>
        <v>5.4553211153577017</v>
      </c>
      <c r="AS128" s="22">
        <f t="shared" si="37"/>
        <v>1.0986122886681098</v>
      </c>
    </row>
    <row r="129" spans="1:45" x14ac:dyDescent="0.25">
      <c r="A129" s="1" t="s">
        <v>8</v>
      </c>
      <c r="B129" s="2">
        <v>41111</v>
      </c>
      <c r="C129">
        <v>2194</v>
      </c>
      <c r="D129" s="1">
        <v>2012</v>
      </c>
      <c r="E129" s="1">
        <v>733</v>
      </c>
      <c r="F129" s="1">
        <v>57725</v>
      </c>
      <c r="G129" s="44">
        <f t="shared" si="27"/>
        <v>1</v>
      </c>
      <c r="H129" s="6">
        <v>41.851833333333332</v>
      </c>
      <c r="I129" s="6">
        <v>-81.404666666666671</v>
      </c>
      <c r="J129">
        <v>42.424050000000001</v>
      </c>
      <c r="K129">
        <v>-81.688833333333335</v>
      </c>
      <c r="L129">
        <v>41.758499999999998</v>
      </c>
      <c r="M129">
        <v>-81.356416666666661</v>
      </c>
      <c r="N129" s="22">
        <f t="shared" si="38"/>
        <v>0.63889170291650943</v>
      </c>
      <c r="O129" s="22">
        <f t="shared" si="39"/>
        <v>0.10506747170800371</v>
      </c>
      <c r="P129" s="22">
        <f t="shared" si="26"/>
        <v>0.10506747170800371</v>
      </c>
      <c r="Q129" s="1"/>
      <c r="R129" s="1"/>
      <c r="S129" s="40">
        <v>20.421600000000002</v>
      </c>
      <c r="T129" s="1">
        <v>9</v>
      </c>
      <c r="U129" s="1">
        <v>0</v>
      </c>
      <c r="V129" s="1">
        <v>2235</v>
      </c>
      <c r="W129" s="41">
        <v>20</v>
      </c>
      <c r="X129" s="42">
        <v>1.8</v>
      </c>
      <c r="Y129">
        <v>28</v>
      </c>
      <c r="Z129" s="28">
        <f t="shared" si="28"/>
        <v>0</v>
      </c>
      <c r="AA129" s="28">
        <f t="shared" si="29"/>
        <v>0.6</v>
      </c>
      <c r="AB129" s="28">
        <f t="shared" si="30"/>
        <v>0.05</v>
      </c>
      <c r="AC129" s="28">
        <f t="shared" si="31"/>
        <v>0.4</v>
      </c>
      <c r="AD129" s="28">
        <f t="shared" si="32"/>
        <v>0.1</v>
      </c>
      <c r="AE129">
        <f t="shared" si="40"/>
        <v>0</v>
      </c>
      <c r="AF129">
        <f t="shared" si="41"/>
        <v>0.42857142857142855</v>
      </c>
      <c r="AG129">
        <f t="shared" si="42"/>
        <v>3.5714285714285712E-2</v>
      </c>
      <c r="AH129">
        <f t="shared" si="43"/>
        <v>0.2857142857142857</v>
      </c>
      <c r="AI129">
        <f t="shared" si="44"/>
        <v>7.1428571428571425E-2</v>
      </c>
      <c r="AJ129">
        <v>0</v>
      </c>
      <c r="AK129">
        <v>12</v>
      </c>
      <c r="AL129">
        <v>1</v>
      </c>
      <c r="AM129">
        <v>8</v>
      </c>
      <c r="AN129">
        <v>2</v>
      </c>
      <c r="AO129" s="22">
        <f t="shared" si="33"/>
        <v>0</v>
      </c>
      <c r="AP129" s="22">
        <f t="shared" si="34"/>
        <v>2.5649493574615367</v>
      </c>
      <c r="AQ129" s="22">
        <f t="shared" si="35"/>
        <v>0.69314718055994529</v>
      </c>
      <c r="AR129" s="22">
        <f t="shared" si="36"/>
        <v>2.1972245773362196</v>
      </c>
      <c r="AS129" s="22">
        <f t="shared" si="37"/>
        <v>1.0986122886681098</v>
      </c>
    </row>
    <row r="130" spans="1:45" x14ac:dyDescent="0.25">
      <c r="A130" s="1" t="s">
        <v>8</v>
      </c>
      <c r="B130" s="2">
        <v>41111</v>
      </c>
      <c r="C130">
        <v>2194</v>
      </c>
      <c r="D130" s="1">
        <v>2012</v>
      </c>
      <c r="E130" s="1">
        <v>734</v>
      </c>
      <c r="F130" s="1">
        <v>57725</v>
      </c>
      <c r="G130" s="44">
        <f t="shared" si="27"/>
        <v>1</v>
      </c>
      <c r="H130" s="6">
        <v>41.898666666666664</v>
      </c>
      <c r="I130" s="6">
        <v>-81.425666666666672</v>
      </c>
      <c r="J130">
        <v>42.424050000000001</v>
      </c>
      <c r="K130">
        <v>-81.688833333333335</v>
      </c>
      <c r="L130">
        <v>41.758499999999998</v>
      </c>
      <c r="M130">
        <v>-81.356416666666661</v>
      </c>
      <c r="N130" s="22">
        <f t="shared" si="38"/>
        <v>0.58760900383579173</v>
      </c>
      <c r="O130" s="22">
        <f t="shared" si="39"/>
        <v>0.15634019618909806</v>
      </c>
      <c r="P130" s="22">
        <f t="shared" si="26"/>
        <v>0.15634019618909806</v>
      </c>
      <c r="Q130" s="1">
        <v>24.2</v>
      </c>
      <c r="R130" s="1">
        <v>15.4</v>
      </c>
      <c r="S130" s="40">
        <v>21.640800000000002</v>
      </c>
      <c r="T130" s="1">
        <v>17</v>
      </c>
      <c r="U130" s="1">
        <v>1</v>
      </c>
      <c r="V130" s="1">
        <v>2324</v>
      </c>
      <c r="W130" s="41">
        <v>20</v>
      </c>
      <c r="X130" s="42">
        <v>1.8</v>
      </c>
      <c r="Y130">
        <v>263</v>
      </c>
      <c r="Z130" s="28">
        <f t="shared" si="28"/>
        <v>0</v>
      </c>
      <c r="AA130" s="28">
        <f t="shared" si="29"/>
        <v>0</v>
      </c>
      <c r="AB130" s="28">
        <f t="shared" si="30"/>
        <v>0.2</v>
      </c>
      <c r="AC130" s="28">
        <f t="shared" si="31"/>
        <v>0</v>
      </c>
      <c r="AD130" s="28">
        <f t="shared" si="32"/>
        <v>0.1</v>
      </c>
      <c r="AE130">
        <f t="shared" si="40"/>
        <v>0</v>
      </c>
      <c r="AF130">
        <f t="shared" si="41"/>
        <v>0</v>
      </c>
      <c r="AG130">
        <f t="shared" si="42"/>
        <v>1.5209125475285171E-2</v>
      </c>
      <c r="AH130">
        <f t="shared" si="43"/>
        <v>0</v>
      </c>
      <c r="AI130">
        <f t="shared" si="44"/>
        <v>7.6045627376425855E-3</v>
      </c>
      <c r="AJ130">
        <v>0</v>
      </c>
      <c r="AK130">
        <v>0</v>
      </c>
      <c r="AL130">
        <v>4</v>
      </c>
      <c r="AM130">
        <v>0</v>
      </c>
      <c r="AN130">
        <v>2</v>
      </c>
      <c r="AO130" s="22">
        <f t="shared" si="33"/>
        <v>0</v>
      </c>
      <c r="AP130" s="22">
        <f t="shared" si="34"/>
        <v>0</v>
      </c>
      <c r="AQ130" s="22">
        <f t="shared" si="35"/>
        <v>1.6094379124341003</v>
      </c>
      <c r="AR130" s="22">
        <f t="shared" si="36"/>
        <v>0</v>
      </c>
      <c r="AS130" s="22">
        <f t="shared" si="37"/>
        <v>1.0986122886681098</v>
      </c>
    </row>
    <row r="131" spans="1:45" x14ac:dyDescent="0.25">
      <c r="A131" s="1" t="s">
        <v>8</v>
      </c>
      <c r="B131" s="2">
        <v>41112</v>
      </c>
      <c r="C131">
        <v>2194</v>
      </c>
      <c r="D131" s="1">
        <v>2012</v>
      </c>
      <c r="E131" s="1">
        <v>735</v>
      </c>
      <c r="F131" s="1">
        <v>57725</v>
      </c>
      <c r="G131" s="44">
        <f t="shared" si="27"/>
        <v>1</v>
      </c>
      <c r="H131" s="6">
        <v>41.937333333333335</v>
      </c>
      <c r="I131" s="6">
        <v>-81.445999999999998</v>
      </c>
      <c r="J131">
        <v>42.424050000000001</v>
      </c>
      <c r="K131">
        <v>-81.688833333333335</v>
      </c>
      <c r="L131">
        <v>41.758499999999998</v>
      </c>
      <c r="M131">
        <v>-81.356416666666661</v>
      </c>
      <c r="N131" s="22">
        <f t="shared" si="38"/>
        <v>0.54393119177786653</v>
      </c>
      <c r="O131" s="22">
        <f t="shared" si="39"/>
        <v>0.20001633613838693</v>
      </c>
      <c r="P131" s="22">
        <f t="shared" si="26"/>
        <v>0.20001633613838693</v>
      </c>
      <c r="Q131" s="1"/>
      <c r="R131" s="1"/>
      <c r="S131" s="40">
        <v>22.250400000000003</v>
      </c>
      <c r="T131" s="1">
        <v>5</v>
      </c>
      <c r="U131" s="1">
        <v>0</v>
      </c>
      <c r="V131" s="1">
        <v>2416</v>
      </c>
      <c r="W131" s="41">
        <v>20</v>
      </c>
      <c r="X131" s="42">
        <v>1.8</v>
      </c>
      <c r="Y131">
        <v>228</v>
      </c>
      <c r="Z131" s="28">
        <f t="shared" si="28"/>
        <v>0</v>
      </c>
      <c r="AA131" s="28">
        <f t="shared" si="29"/>
        <v>0.05</v>
      </c>
      <c r="AB131" s="28">
        <f t="shared" si="30"/>
        <v>0</v>
      </c>
      <c r="AC131" s="28">
        <f t="shared" si="31"/>
        <v>10.95</v>
      </c>
      <c r="AD131" s="28">
        <f t="shared" si="32"/>
        <v>0</v>
      </c>
      <c r="AE131">
        <f t="shared" si="40"/>
        <v>0</v>
      </c>
      <c r="AF131">
        <f t="shared" si="41"/>
        <v>4.3859649122807015E-3</v>
      </c>
      <c r="AG131">
        <f t="shared" si="42"/>
        <v>0</v>
      </c>
      <c r="AH131">
        <f t="shared" si="43"/>
        <v>0.96052631578947367</v>
      </c>
      <c r="AI131">
        <f t="shared" si="44"/>
        <v>0</v>
      </c>
      <c r="AJ131">
        <v>0</v>
      </c>
      <c r="AK131">
        <v>1</v>
      </c>
      <c r="AL131">
        <v>0</v>
      </c>
      <c r="AM131">
        <v>219</v>
      </c>
      <c r="AN131">
        <v>0</v>
      </c>
      <c r="AO131" s="22">
        <f t="shared" si="33"/>
        <v>0</v>
      </c>
      <c r="AP131" s="22">
        <f t="shared" si="34"/>
        <v>0.69314718055994529</v>
      </c>
      <c r="AQ131" s="22">
        <f t="shared" si="35"/>
        <v>0</v>
      </c>
      <c r="AR131" s="22">
        <f t="shared" si="36"/>
        <v>5.393627546352362</v>
      </c>
      <c r="AS131" s="22">
        <f t="shared" si="37"/>
        <v>0</v>
      </c>
    </row>
    <row r="132" spans="1:45" x14ac:dyDescent="0.25">
      <c r="A132" t="s">
        <v>10</v>
      </c>
      <c r="B132" s="2">
        <v>41106</v>
      </c>
      <c r="C132">
        <v>2194</v>
      </c>
      <c r="D132" s="1">
        <v>2012</v>
      </c>
      <c r="E132" s="1">
        <v>1001</v>
      </c>
      <c r="F132" s="1">
        <v>58100</v>
      </c>
      <c r="G132" s="44">
        <f t="shared" si="27"/>
        <v>1</v>
      </c>
      <c r="H132" s="6">
        <v>42.387333333333331</v>
      </c>
      <c r="I132" s="6">
        <v>-80.921666666666667</v>
      </c>
      <c r="J132">
        <v>42.632766666666669</v>
      </c>
      <c r="K132">
        <v>-81.01636666666667</v>
      </c>
      <c r="L132">
        <v>41.96221666666667</v>
      </c>
      <c r="M132">
        <v>-80.744650000000007</v>
      </c>
      <c r="N132" s="22">
        <f t="shared" si="38"/>
        <v>0.26306959366508709</v>
      </c>
      <c r="O132" s="22">
        <f t="shared" si="39"/>
        <v>0.46049873024314403</v>
      </c>
      <c r="P132" s="22">
        <f t="shared" si="26"/>
        <v>0.26306959366508709</v>
      </c>
      <c r="Q132" s="4">
        <v>24.7</v>
      </c>
      <c r="R132" s="4">
        <v>22.6</v>
      </c>
      <c r="S132" s="4">
        <v>21.3</v>
      </c>
      <c r="T132" s="1">
        <v>13</v>
      </c>
      <c r="U132" s="1">
        <v>1</v>
      </c>
      <c r="V132">
        <v>2210</v>
      </c>
      <c r="W132">
        <v>20</v>
      </c>
      <c r="X132">
        <v>1.02</v>
      </c>
      <c r="Y132">
        <v>20</v>
      </c>
      <c r="Z132" s="28">
        <f t="shared" si="28"/>
        <v>0</v>
      </c>
      <c r="AA132" s="28">
        <f t="shared" si="29"/>
        <v>0.1</v>
      </c>
      <c r="AB132" s="28">
        <f t="shared" si="30"/>
        <v>0.5</v>
      </c>
      <c r="AC132" s="28">
        <f t="shared" si="31"/>
        <v>0.4</v>
      </c>
      <c r="AD132" s="28">
        <f t="shared" si="32"/>
        <v>0</v>
      </c>
      <c r="AE132">
        <f t="shared" si="40"/>
        <v>0</v>
      </c>
      <c r="AF132">
        <f t="shared" si="41"/>
        <v>0.1</v>
      </c>
      <c r="AG132">
        <f t="shared" si="42"/>
        <v>0.5</v>
      </c>
      <c r="AH132">
        <f t="shared" si="43"/>
        <v>0.4</v>
      </c>
      <c r="AI132">
        <f t="shared" si="44"/>
        <v>0</v>
      </c>
      <c r="AJ132">
        <v>0</v>
      </c>
      <c r="AK132">
        <v>2</v>
      </c>
      <c r="AL132">
        <v>10</v>
      </c>
      <c r="AM132">
        <v>8</v>
      </c>
      <c r="AN132">
        <v>0</v>
      </c>
      <c r="AO132" s="22">
        <f t="shared" si="33"/>
        <v>0</v>
      </c>
      <c r="AP132" s="22">
        <f t="shared" si="34"/>
        <v>1.0986122886681098</v>
      </c>
      <c r="AQ132" s="22">
        <f t="shared" si="35"/>
        <v>2.3978952727983707</v>
      </c>
      <c r="AR132" s="22">
        <f t="shared" si="36"/>
        <v>2.1972245773362196</v>
      </c>
      <c r="AS132" s="22">
        <f t="shared" si="37"/>
        <v>0</v>
      </c>
    </row>
    <row r="133" spans="1:45" x14ac:dyDescent="0.25">
      <c r="A133" t="s">
        <v>10</v>
      </c>
      <c r="B133" s="2">
        <v>41106</v>
      </c>
      <c r="C133">
        <v>2194</v>
      </c>
      <c r="D133" s="1">
        <v>2012</v>
      </c>
      <c r="E133" s="1">
        <v>1002</v>
      </c>
      <c r="F133" s="1">
        <v>58100</v>
      </c>
      <c r="G133" s="44">
        <f t="shared" si="27"/>
        <v>1</v>
      </c>
      <c r="H133" s="6">
        <v>42.391500000000001</v>
      </c>
      <c r="I133" s="6">
        <v>-80.938000000000002</v>
      </c>
      <c r="J133">
        <v>42.632766666666669</v>
      </c>
      <c r="K133">
        <v>-81.01636666666667</v>
      </c>
      <c r="L133">
        <v>41.96221666666667</v>
      </c>
      <c r="M133">
        <v>-80.744650000000007</v>
      </c>
      <c r="N133" s="22">
        <f t="shared" si="38"/>
        <v>0.25367486846136278</v>
      </c>
      <c r="O133" s="22">
        <f t="shared" si="39"/>
        <v>0.470816740120584</v>
      </c>
      <c r="P133" s="22">
        <f t="shared" si="26"/>
        <v>0.25367486846136278</v>
      </c>
      <c r="Q133" s="4">
        <v>24.7</v>
      </c>
      <c r="R133" s="4">
        <v>14.6</v>
      </c>
      <c r="S133" s="4">
        <v>20.6</v>
      </c>
      <c r="T133" s="1">
        <v>13</v>
      </c>
      <c r="U133" s="1">
        <v>1</v>
      </c>
      <c r="V133">
        <v>2305</v>
      </c>
      <c r="W133">
        <v>20</v>
      </c>
      <c r="X133">
        <v>0.98</v>
      </c>
      <c r="Y133">
        <v>88</v>
      </c>
      <c r="Z133" s="28">
        <f t="shared" si="28"/>
        <v>0</v>
      </c>
      <c r="AA133" s="28">
        <f t="shared" si="29"/>
        <v>2.7</v>
      </c>
      <c r="AB133" s="28">
        <f t="shared" si="30"/>
        <v>1.25</v>
      </c>
      <c r="AC133" s="28">
        <f t="shared" si="31"/>
        <v>0.3</v>
      </c>
      <c r="AD133" s="28">
        <f t="shared" si="32"/>
        <v>0</v>
      </c>
      <c r="AE133">
        <f t="shared" si="40"/>
        <v>0</v>
      </c>
      <c r="AF133">
        <f t="shared" si="41"/>
        <v>0.61363636363636365</v>
      </c>
      <c r="AG133">
        <f t="shared" si="42"/>
        <v>0.28409090909090912</v>
      </c>
      <c r="AH133">
        <f t="shared" si="43"/>
        <v>6.8181818181818177E-2</v>
      </c>
      <c r="AI133">
        <f t="shared" si="44"/>
        <v>0</v>
      </c>
      <c r="AJ133">
        <v>0</v>
      </c>
      <c r="AK133">
        <v>54</v>
      </c>
      <c r="AL133">
        <v>25</v>
      </c>
      <c r="AM133">
        <v>6</v>
      </c>
      <c r="AN133">
        <v>0</v>
      </c>
      <c r="AO133" s="22">
        <f t="shared" si="33"/>
        <v>0</v>
      </c>
      <c r="AP133" s="22">
        <f t="shared" si="34"/>
        <v>4.0073331852324712</v>
      </c>
      <c r="AQ133" s="22">
        <f t="shared" si="35"/>
        <v>3.2580965380214821</v>
      </c>
      <c r="AR133" s="22">
        <f t="shared" si="36"/>
        <v>1.9459101490553132</v>
      </c>
      <c r="AS133" s="22">
        <f t="shared" si="37"/>
        <v>0</v>
      </c>
    </row>
    <row r="134" spans="1:45" x14ac:dyDescent="0.25">
      <c r="A134" t="s">
        <v>10</v>
      </c>
      <c r="B134" s="2">
        <v>41106</v>
      </c>
      <c r="C134">
        <v>2194</v>
      </c>
      <c r="D134" s="1">
        <v>2012</v>
      </c>
      <c r="E134" s="1">
        <v>1003</v>
      </c>
      <c r="F134" s="1">
        <v>58100</v>
      </c>
      <c r="G134" s="44">
        <f t="shared" si="27"/>
        <v>1</v>
      </c>
      <c r="H134" s="6">
        <v>42.386333333333333</v>
      </c>
      <c r="I134" s="6">
        <v>-80.93783333333333</v>
      </c>
      <c r="J134">
        <v>42.632766666666669</v>
      </c>
      <c r="K134">
        <v>-81.01636666666667</v>
      </c>
      <c r="L134">
        <v>41.96221666666667</v>
      </c>
      <c r="M134">
        <v>-80.744650000000007</v>
      </c>
      <c r="N134" s="22">
        <f t="shared" si="38"/>
        <v>0.25864429671311989</v>
      </c>
      <c r="O134" s="22">
        <f t="shared" si="39"/>
        <v>0.46604157241840027</v>
      </c>
      <c r="P134" s="22">
        <f t="shared" si="26"/>
        <v>0.25864429671311989</v>
      </c>
      <c r="Q134" s="4">
        <v>24.7</v>
      </c>
      <c r="R134" s="4">
        <v>14.5</v>
      </c>
      <c r="S134" s="4">
        <v>20.6</v>
      </c>
      <c r="T134" s="1">
        <v>15</v>
      </c>
      <c r="U134" s="1">
        <v>1</v>
      </c>
      <c r="V134">
        <v>2351</v>
      </c>
      <c r="W134">
        <v>20</v>
      </c>
      <c r="X134">
        <v>0.97</v>
      </c>
      <c r="Y134">
        <v>139</v>
      </c>
      <c r="Z134" s="28">
        <f t="shared" si="28"/>
        <v>0</v>
      </c>
      <c r="AA134" s="28">
        <f t="shared" si="29"/>
        <v>0.9</v>
      </c>
      <c r="AB134" s="28">
        <f t="shared" si="30"/>
        <v>5.55</v>
      </c>
      <c r="AC134" s="28">
        <f t="shared" si="31"/>
        <v>0.4</v>
      </c>
      <c r="AD134" s="28">
        <f t="shared" si="32"/>
        <v>0.05</v>
      </c>
      <c r="AE134">
        <f t="shared" si="40"/>
        <v>0</v>
      </c>
      <c r="AF134">
        <f t="shared" si="41"/>
        <v>0.12949640287769784</v>
      </c>
      <c r="AG134">
        <f t="shared" si="42"/>
        <v>0.79856115107913672</v>
      </c>
      <c r="AH134">
        <f t="shared" si="43"/>
        <v>5.7553956834532377E-2</v>
      </c>
      <c r="AI134">
        <f t="shared" si="44"/>
        <v>7.1942446043165471E-3</v>
      </c>
      <c r="AJ134">
        <v>0</v>
      </c>
      <c r="AK134">
        <v>18</v>
      </c>
      <c r="AL134">
        <v>111</v>
      </c>
      <c r="AM134">
        <v>8</v>
      </c>
      <c r="AN134">
        <v>1</v>
      </c>
      <c r="AO134" s="22">
        <f t="shared" si="33"/>
        <v>0</v>
      </c>
      <c r="AP134" s="22">
        <f t="shared" si="34"/>
        <v>2.9444389791664403</v>
      </c>
      <c r="AQ134" s="22">
        <f t="shared" si="35"/>
        <v>4.7184988712950942</v>
      </c>
      <c r="AR134" s="22">
        <f t="shared" si="36"/>
        <v>2.1972245773362196</v>
      </c>
      <c r="AS134" s="22">
        <f t="shared" si="37"/>
        <v>0.69314718055994529</v>
      </c>
    </row>
    <row r="135" spans="1:45" x14ac:dyDescent="0.25">
      <c r="A135" t="s">
        <v>10</v>
      </c>
      <c r="B135" s="2">
        <v>41107</v>
      </c>
      <c r="C135">
        <v>2194</v>
      </c>
      <c r="D135" s="1">
        <v>2012</v>
      </c>
      <c r="E135" s="1">
        <v>1004</v>
      </c>
      <c r="F135" s="1">
        <v>58100</v>
      </c>
      <c r="G135" s="44">
        <f t="shared" si="27"/>
        <v>1</v>
      </c>
      <c r="H135" s="6">
        <v>42.393500000000003</v>
      </c>
      <c r="I135" s="6">
        <v>-80.944166666666661</v>
      </c>
      <c r="J135">
        <v>42.632766666666669</v>
      </c>
      <c r="K135">
        <v>-81.01636666666667</v>
      </c>
      <c r="L135">
        <v>41.96221666666667</v>
      </c>
      <c r="M135">
        <v>-80.744650000000007</v>
      </c>
      <c r="N135" s="22">
        <f t="shared" si="38"/>
        <v>0.24992274361846029</v>
      </c>
      <c r="O135" s="22">
        <f t="shared" si="39"/>
        <v>0.47519702638893202</v>
      </c>
      <c r="P135" s="22">
        <f t="shared" si="26"/>
        <v>0.24992274361846029</v>
      </c>
      <c r="Q135" s="4">
        <v>24.5</v>
      </c>
      <c r="R135" s="4">
        <v>23.8</v>
      </c>
      <c r="S135" s="4">
        <v>20.6</v>
      </c>
      <c r="T135" s="1">
        <v>9</v>
      </c>
      <c r="U135" s="1">
        <v>0</v>
      </c>
      <c r="V135">
        <v>2435</v>
      </c>
      <c r="W135">
        <v>20</v>
      </c>
      <c r="X135">
        <v>0.98</v>
      </c>
      <c r="Y135">
        <v>55</v>
      </c>
      <c r="Z135" s="28">
        <f t="shared" si="28"/>
        <v>0</v>
      </c>
      <c r="AA135" s="28">
        <f t="shared" si="29"/>
        <v>0</v>
      </c>
      <c r="AB135" s="28">
        <f t="shared" si="30"/>
        <v>0</v>
      </c>
      <c r="AC135" s="28">
        <f t="shared" si="31"/>
        <v>2.6</v>
      </c>
      <c r="AD135" s="28">
        <f t="shared" si="32"/>
        <v>0.1</v>
      </c>
      <c r="AE135">
        <f t="shared" si="40"/>
        <v>0</v>
      </c>
      <c r="AF135">
        <f t="shared" si="41"/>
        <v>0</v>
      </c>
      <c r="AG135">
        <f t="shared" si="42"/>
        <v>0</v>
      </c>
      <c r="AH135">
        <f t="shared" si="43"/>
        <v>0.94545454545454544</v>
      </c>
      <c r="AI135">
        <f t="shared" si="44"/>
        <v>3.6363636363636362E-2</v>
      </c>
      <c r="AJ135">
        <v>0</v>
      </c>
      <c r="AK135">
        <v>0</v>
      </c>
      <c r="AL135">
        <v>0</v>
      </c>
      <c r="AM135">
        <v>52</v>
      </c>
      <c r="AN135">
        <v>2</v>
      </c>
      <c r="AO135" s="22">
        <f t="shared" si="33"/>
        <v>0</v>
      </c>
      <c r="AP135" s="22">
        <f t="shared" si="34"/>
        <v>0</v>
      </c>
      <c r="AQ135" s="22">
        <f t="shared" si="35"/>
        <v>0</v>
      </c>
      <c r="AR135" s="22">
        <f t="shared" si="36"/>
        <v>3.970291913552122</v>
      </c>
      <c r="AS135" s="22">
        <f t="shared" si="37"/>
        <v>1.0986122886681098</v>
      </c>
    </row>
    <row r="136" spans="1:45" x14ac:dyDescent="0.25">
      <c r="A136" t="s">
        <v>10</v>
      </c>
      <c r="B136" s="2">
        <v>41107</v>
      </c>
      <c r="C136">
        <v>2194</v>
      </c>
      <c r="D136" s="1">
        <v>2012</v>
      </c>
      <c r="E136" s="1">
        <v>1005</v>
      </c>
      <c r="F136" s="1">
        <v>58100</v>
      </c>
      <c r="G136" s="44">
        <f t="shared" si="27"/>
        <v>1</v>
      </c>
      <c r="H136" s="6">
        <v>42.533333333333331</v>
      </c>
      <c r="I136" s="6">
        <v>-80.971000000000004</v>
      </c>
      <c r="J136">
        <v>42.632766666666669</v>
      </c>
      <c r="K136">
        <v>-81.01636666666667</v>
      </c>
      <c r="L136">
        <v>41.96221666666667</v>
      </c>
      <c r="M136">
        <v>-80.744650000000007</v>
      </c>
      <c r="N136" s="22">
        <f t="shared" si="38"/>
        <v>0.10929374283197997</v>
      </c>
      <c r="O136" s="22">
        <f t="shared" si="39"/>
        <v>0.61433587673555001</v>
      </c>
      <c r="P136" s="22">
        <f t="shared" si="26"/>
        <v>0.10929374283197997</v>
      </c>
      <c r="Q136" s="4">
        <v>24.3</v>
      </c>
      <c r="R136" s="4">
        <v>14.3</v>
      </c>
      <c r="S136" s="4">
        <v>18.2</v>
      </c>
      <c r="T136" s="1">
        <v>13</v>
      </c>
      <c r="U136" s="1">
        <v>1</v>
      </c>
      <c r="V136">
        <v>2617</v>
      </c>
      <c r="W136">
        <v>20</v>
      </c>
      <c r="X136">
        <v>1</v>
      </c>
      <c r="Y136">
        <v>347</v>
      </c>
      <c r="Z136" s="28">
        <f t="shared" si="28"/>
        <v>0</v>
      </c>
      <c r="AA136" s="28">
        <f t="shared" si="29"/>
        <v>16.05</v>
      </c>
      <c r="AB136" s="28">
        <f t="shared" si="30"/>
        <v>0</v>
      </c>
      <c r="AC136" s="28">
        <f t="shared" si="31"/>
        <v>0.7</v>
      </c>
      <c r="AD136" s="28">
        <f t="shared" si="32"/>
        <v>0.45</v>
      </c>
      <c r="AE136">
        <f t="shared" si="40"/>
        <v>0</v>
      </c>
      <c r="AF136">
        <f t="shared" si="41"/>
        <v>0.9250720461095101</v>
      </c>
      <c r="AG136">
        <f t="shared" si="42"/>
        <v>0</v>
      </c>
      <c r="AH136">
        <f t="shared" si="43"/>
        <v>4.0345821325648415E-2</v>
      </c>
      <c r="AI136">
        <f t="shared" si="44"/>
        <v>2.5936599423631124E-2</v>
      </c>
      <c r="AJ136">
        <v>0</v>
      </c>
      <c r="AK136">
        <v>321</v>
      </c>
      <c r="AL136">
        <v>0</v>
      </c>
      <c r="AM136">
        <v>14</v>
      </c>
      <c r="AN136">
        <v>9</v>
      </c>
      <c r="AO136" s="22">
        <f t="shared" si="33"/>
        <v>0</v>
      </c>
      <c r="AP136" s="22">
        <f t="shared" si="34"/>
        <v>5.7745515455444085</v>
      </c>
      <c r="AQ136" s="22">
        <f t="shared" si="35"/>
        <v>0</v>
      </c>
      <c r="AR136" s="22">
        <f t="shared" si="36"/>
        <v>2.7080502011022101</v>
      </c>
      <c r="AS136" s="22">
        <f t="shared" si="37"/>
        <v>2.3025850929940459</v>
      </c>
    </row>
    <row r="137" spans="1:45" x14ac:dyDescent="0.25">
      <c r="A137" t="s">
        <v>10</v>
      </c>
      <c r="B137" s="2">
        <v>41107</v>
      </c>
      <c r="C137">
        <v>2194</v>
      </c>
      <c r="D137" s="1">
        <v>2012</v>
      </c>
      <c r="E137" s="1">
        <v>1006</v>
      </c>
      <c r="F137" s="1">
        <v>58100</v>
      </c>
      <c r="G137" s="44">
        <f t="shared" si="27"/>
        <v>1</v>
      </c>
      <c r="H137" s="6">
        <v>42.536333333333332</v>
      </c>
      <c r="I137" s="6">
        <v>-80.984499999999997</v>
      </c>
      <c r="J137">
        <v>42.632766666666669</v>
      </c>
      <c r="K137">
        <v>-81.01636666666667</v>
      </c>
      <c r="L137">
        <v>41.96221666666667</v>
      </c>
      <c r="M137">
        <v>-80.744650000000007</v>
      </c>
      <c r="N137" s="22">
        <f t="shared" si="38"/>
        <v>0.10156215940114387</v>
      </c>
      <c r="O137" s="22">
        <f t="shared" si="39"/>
        <v>0.62220412200855246</v>
      </c>
      <c r="P137" s="22">
        <f t="shared" si="26"/>
        <v>0.10156215940114387</v>
      </c>
      <c r="Q137" s="4">
        <v>24.3</v>
      </c>
      <c r="R137" s="4">
        <v>17.100000000000001</v>
      </c>
      <c r="S137" s="4">
        <v>17.7</v>
      </c>
      <c r="T137" s="1">
        <v>11</v>
      </c>
      <c r="U137" s="1">
        <v>1</v>
      </c>
      <c r="V137">
        <v>2704</v>
      </c>
      <c r="W137">
        <v>20</v>
      </c>
      <c r="X137">
        <v>0.94</v>
      </c>
      <c r="Y137">
        <v>98</v>
      </c>
      <c r="Z137" s="28">
        <f t="shared" si="28"/>
        <v>0</v>
      </c>
      <c r="AA137" s="28">
        <f t="shared" si="29"/>
        <v>3.55</v>
      </c>
      <c r="AB137" s="28">
        <f t="shared" si="30"/>
        <v>0.05</v>
      </c>
      <c r="AC137" s="28">
        <f t="shared" si="31"/>
        <v>1.25</v>
      </c>
      <c r="AD137" s="28">
        <f t="shared" si="32"/>
        <v>0.05</v>
      </c>
      <c r="AE137">
        <f t="shared" si="40"/>
        <v>0</v>
      </c>
      <c r="AF137">
        <f t="shared" si="41"/>
        <v>0.72448979591836737</v>
      </c>
      <c r="AG137">
        <f t="shared" si="42"/>
        <v>1.020408163265306E-2</v>
      </c>
      <c r="AH137">
        <f t="shared" si="43"/>
        <v>0.25510204081632654</v>
      </c>
      <c r="AI137">
        <f t="shared" si="44"/>
        <v>1.020408163265306E-2</v>
      </c>
      <c r="AJ137">
        <v>0</v>
      </c>
      <c r="AK137">
        <v>71</v>
      </c>
      <c r="AL137">
        <v>1</v>
      </c>
      <c r="AM137">
        <v>25</v>
      </c>
      <c r="AN137">
        <v>1</v>
      </c>
      <c r="AO137" s="22">
        <f t="shared" si="33"/>
        <v>0</v>
      </c>
      <c r="AP137" s="22">
        <f t="shared" si="34"/>
        <v>4.2766661190160553</v>
      </c>
      <c r="AQ137" s="22">
        <f t="shared" si="35"/>
        <v>0.69314718055994529</v>
      </c>
      <c r="AR137" s="22">
        <f t="shared" si="36"/>
        <v>3.2580965380214821</v>
      </c>
      <c r="AS137" s="22">
        <f t="shared" si="37"/>
        <v>0.69314718055994529</v>
      </c>
    </row>
    <row r="138" spans="1:45" x14ac:dyDescent="0.25">
      <c r="A138" t="s">
        <v>10</v>
      </c>
      <c r="B138" s="2">
        <v>41107</v>
      </c>
      <c r="C138">
        <v>2194</v>
      </c>
      <c r="D138" s="1">
        <v>2012</v>
      </c>
      <c r="E138" s="1">
        <v>1007</v>
      </c>
      <c r="F138" s="1">
        <v>58100</v>
      </c>
      <c r="G138" s="44">
        <f t="shared" si="27"/>
        <v>1</v>
      </c>
      <c r="H138" s="13">
        <v>42.536333333333332</v>
      </c>
      <c r="I138" s="6">
        <v>-80.983166666666662</v>
      </c>
      <c r="J138">
        <v>42.632766666666669</v>
      </c>
      <c r="K138">
        <v>-81.01636666666667</v>
      </c>
      <c r="L138">
        <v>41.96221666666667</v>
      </c>
      <c r="M138">
        <v>-80.744650000000007</v>
      </c>
      <c r="N138" s="22">
        <f t="shared" si="38"/>
        <v>0.10198837079676798</v>
      </c>
      <c r="O138" s="22">
        <f t="shared" si="39"/>
        <v>0.62169136009937498</v>
      </c>
      <c r="P138" s="22">
        <f t="shared" si="26"/>
        <v>0.10198837079676798</v>
      </c>
      <c r="Q138" s="4">
        <v>24.6</v>
      </c>
      <c r="R138" s="4">
        <v>24.1</v>
      </c>
      <c r="S138" s="4">
        <v>18.399999999999999</v>
      </c>
      <c r="T138" s="21">
        <v>8</v>
      </c>
      <c r="U138" s="21">
        <v>0</v>
      </c>
      <c r="V138">
        <v>2747</v>
      </c>
      <c r="W138">
        <v>20</v>
      </c>
      <c r="X138">
        <v>1</v>
      </c>
      <c r="Y138">
        <v>95</v>
      </c>
      <c r="Z138" s="28">
        <f t="shared" si="28"/>
        <v>0</v>
      </c>
      <c r="AA138" s="28">
        <f t="shared" si="29"/>
        <v>0.35</v>
      </c>
      <c r="AB138" s="28">
        <f t="shared" si="30"/>
        <v>0</v>
      </c>
      <c r="AC138" s="28">
        <f t="shared" si="31"/>
        <v>4.2</v>
      </c>
      <c r="AD138" s="28">
        <f t="shared" si="32"/>
        <v>0.2</v>
      </c>
      <c r="AE138">
        <f t="shared" si="40"/>
        <v>0</v>
      </c>
      <c r="AF138">
        <f t="shared" si="41"/>
        <v>7.3684210526315783E-2</v>
      </c>
      <c r="AG138">
        <f t="shared" si="42"/>
        <v>0</v>
      </c>
      <c r="AH138">
        <f t="shared" si="43"/>
        <v>0.88421052631578945</v>
      </c>
      <c r="AI138">
        <f t="shared" si="44"/>
        <v>4.2105263157894736E-2</v>
      </c>
      <c r="AJ138">
        <v>0</v>
      </c>
      <c r="AK138">
        <v>7</v>
      </c>
      <c r="AL138">
        <v>0</v>
      </c>
      <c r="AM138">
        <v>84</v>
      </c>
      <c r="AN138">
        <v>4</v>
      </c>
      <c r="AO138" s="22">
        <f t="shared" si="33"/>
        <v>0</v>
      </c>
      <c r="AP138" s="22">
        <f t="shared" si="34"/>
        <v>2.0794415416798357</v>
      </c>
      <c r="AQ138" s="22">
        <f t="shared" si="35"/>
        <v>0</v>
      </c>
      <c r="AR138" s="22">
        <f t="shared" si="36"/>
        <v>4.4426512564903167</v>
      </c>
      <c r="AS138" s="22">
        <f t="shared" si="37"/>
        <v>1.6094379124341003</v>
      </c>
    </row>
    <row r="139" spans="1:45" x14ac:dyDescent="0.25">
      <c r="A139" t="s">
        <v>10</v>
      </c>
      <c r="B139" s="2">
        <v>41107</v>
      </c>
      <c r="C139">
        <v>2194</v>
      </c>
      <c r="D139" s="1">
        <v>2012</v>
      </c>
      <c r="E139" s="1">
        <v>1008</v>
      </c>
      <c r="F139" s="1">
        <v>58100</v>
      </c>
      <c r="G139" s="44">
        <f t="shared" si="27"/>
        <v>1</v>
      </c>
      <c r="H139" s="13">
        <v>42.618333333333332</v>
      </c>
      <c r="I139" s="6">
        <v>-81.023333333333326</v>
      </c>
      <c r="J139">
        <v>42.632766666666669</v>
      </c>
      <c r="K139">
        <v>-81.01636666666667</v>
      </c>
      <c r="L139">
        <v>41.96221666666667</v>
      </c>
      <c r="M139">
        <v>-80.744650000000007</v>
      </c>
      <c r="N139" s="22">
        <f t="shared" si="38"/>
        <v>1.6026713810245084E-2</v>
      </c>
      <c r="O139" s="22">
        <f t="shared" si="39"/>
        <v>0.71284884832308026</v>
      </c>
      <c r="P139" s="22">
        <f t="shared" si="26"/>
        <v>1.6026713810245084E-2</v>
      </c>
      <c r="Q139" s="4">
        <v>24.8</v>
      </c>
      <c r="R139" s="4">
        <v>16.3</v>
      </c>
      <c r="S139" s="4">
        <v>13.3</v>
      </c>
      <c r="T139" s="21">
        <v>11</v>
      </c>
      <c r="U139" s="21">
        <v>1</v>
      </c>
      <c r="V139">
        <v>2857</v>
      </c>
      <c r="W139">
        <v>20</v>
      </c>
      <c r="X139">
        <v>0.97</v>
      </c>
      <c r="Y139">
        <v>202</v>
      </c>
      <c r="Z139" s="28">
        <f t="shared" si="28"/>
        <v>0</v>
      </c>
      <c r="AA139" s="28">
        <f t="shared" si="29"/>
        <v>0.3</v>
      </c>
      <c r="AB139" s="28">
        <f t="shared" si="30"/>
        <v>0</v>
      </c>
      <c r="AC139" s="28">
        <f t="shared" si="31"/>
        <v>9.75</v>
      </c>
      <c r="AD139" s="28">
        <f t="shared" si="32"/>
        <v>0</v>
      </c>
      <c r="AE139">
        <f t="shared" si="40"/>
        <v>0</v>
      </c>
      <c r="AF139">
        <f t="shared" si="41"/>
        <v>2.9702970297029702E-2</v>
      </c>
      <c r="AG139">
        <f t="shared" si="42"/>
        <v>0</v>
      </c>
      <c r="AH139">
        <f t="shared" si="43"/>
        <v>0.96534653465346532</v>
      </c>
      <c r="AI139">
        <f t="shared" si="44"/>
        <v>0</v>
      </c>
      <c r="AJ139">
        <v>0</v>
      </c>
      <c r="AK139">
        <v>6</v>
      </c>
      <c r="AL139">
        <v>0</v>
      </c>
      <c r="AM139">
        <v>195</v>
      </c>
      <c r="AN139">
        <v>0</v>
      </c>
      <c r="AO139" s="22">
        <f t="shared" si="33"/>
        <v>0</v>
      </c>
      <c r="AP139" s="22">
        <f t="shared" si="34"/>
        <v>1.9459101490553132</v>
      </c>
      <c r="AQ139" s="22">
        <f t="shared" si="35"/>
        <v>0</v>
      </c>
      <c r="AR139" s="22">
        <f t="shared" si="36"/>
        <v>5.2781146592305168</v>
      </c>
      <c r="AS139" s="22">
        <f t="shared" si="37"/>
        <v>0</v>
      </c>
    </row>
    <row r="140" spans="1:45" x14ac:dyDescent="0.25">
      <c r="A140" t="s">
        <v>10</v>
      </c>
      <c r="B140" s="2">
        <v>41107</v>
      </c>
      <c r="C140">
        <v>2194</v>
      </c>
      <c r="D140" s="1">
        <v>2012</v>
      </c>
      <c r="E140" s="1">
        <v>1009</v>
      </c>
      <c r="F140" s="1">
        <v>58100</v>
      </c>
      <c r="G140" s="44">
        <f t="shared" si="27"/>
        <v>1</v>
      </c>
      <c r="H140" s="6">
        <v>42.61716666666667</v>
      </c>
      <c r="I140" s="15">
        <v>-81.024500000000003</v>
      </c>
      <c r="J140">
        <v>42.632766666666669</v>
      </c>
      <c r="K140">
        <v>-81.01636666666667</v>
      </c>
      <c r="L140">
        <v>41.96221666666667</v>
      </c>
      <c r="M140">
        <v>-80.744650000000007</v>
      </c>
      <c r="N140" s="22">
        <f t="shared" si="38"/>
        <v>1.759292787204805E-2</v>
      </c>
      <c r="O140" s="22">
        <f t="shared" si="39"/>
        <v>0.7122327744494753</v>
      </c>
      <c r="P140" s="22">
        <f t="shared" si="26"/>
        <v>1.759292787204805E-2</v>
      </c>
      <c r="Q140" s="4">
        <v>24.5</v>
      </c>
      <c r="R140" s="4">
        <v>24</v>
      </c>
      <c r="S140" s="4">
        <v>13.3</v>
      </c>
      <c r="T140" s="1">
        <v>6</v>
      </c>
      <c r="U140" s="1">
        <v>0</v>
      </c>
      <c r="V140">
        <v>2939</v>
      </c>
      <c r="W140">
        <v>20</v>
      </c>
      <c r="X140">
        <v>1.05</v>
      </c>
      <c r="Y140">
        <v>992</v>
      </c>
      <c r="Z140" s="28">
        <f t="shared" si="28"/>
        <v>0</v>
      </c>
      <c r="AA140" s="28">
        <f t="shared" si="29"/>
        <v>0.1</v>
      </c>
      <c r="AB140" s="28">
        <f t="shared" si="30"/>
        <v>0</v>
      </c>
      <c r="AC140" s="28">
        <f t="shared" si="31"/>
        <v>49.5</v>
      </c>
      <c r="AD140" s="28">
        <f t="shared" si="32"/>
        <v>0</v>
      </c>
      <c r="AE140">
        <f t="shared" si="40"/>
        <v>0</v>
      </c>
      <c r="AF140">
        <f t="shared" si="41"/>
        <v>2.0161290322580645E-3</v>
      </c>
      <c r="AG140">
        <f t="shared" si="42"/>
        <v>0</v>
      </c>
      <c r="AH140">
        <f t="shared" si="43"/>
        <v>0.99798387096774188</v>
      </c>
      <c r="AI140">
        <f t="shared" si="44"/>
        <v>0</v>
      </c>
      <c r="AJ140">
        <v>0</v>
      </c>
      <c r="AK140">
        <v>2</v>
      </c>
      <c r="AL140">
        <v>0</v>
      </c>
      <c r="AM140">
        <v>990</v>
      </c>
      <c r="AN140">
        <v>0</v>
      </c>
      <c r="AO140" s="22">
        <f t="shared" si="33"/>
        <v>0</v>
      </c>
      <c r="AP140" s="22">
        <f t="shared" si="34"/>
        <v>1.0986122886681098</v>
      </c>
      <c r="AQ140" s="22">
        <f t="shared" si="35"/>
        <v>0</v>
      </c>
      <c r="AR140" s="22">
        <f t="shared" si="36"/>
        <v>6.8987145343299883</v>
      </c>
      <c r="AS140" s="22">
        <f t="shared" si="37"/>
        <v>0</v>
      </c>
    </row>
    <row r="141" spans="1:45" x14ac:dyDescent="0.25">
      <c r="A141" t="s">
        <v>10</v>
      </c>
      <c r="B141" s="2">
        <v>41107</v>
      </c>
      <c r="C141">
        <v>2194</v>
      </c>
      <c r="D141" s="1">
        <v>2012</v>
      </c>
      <c r="E141" s="1">
        <v>2001</v>
      </c>
      <c r="F141" s="1">
        <v>57850</v>
      </c>
      <c r="G141" s="44">
        <f t="shared" si="27"/>
        <v>1</v>
      </c>
      <c r="H141" s="6">
        <v>42.55616666666667</v>
      </c>
      <c r="I141" s="6">
        <v>-81.474166666666662</v>
      </c>
      <c r="J141">
        <v>42.566916666666664</v>
      </c>
      <c r="K141">
        <v>-81.47208333333333</v>
      </c>
      <c r="L141">
        <v>41.819366666666667</v>
      </c>
      <c r="M141">
        <v>-81.155166666666673</v>
      </c>
      <c r="N141" s="22">
        <f t="shared" si="38"/>
        <v>1.0950012683903674E-2</v>
      </c>
      <c r="O141" s="22">
        <f t="shared" si="39"/>
        <v>0.80289179843861658</v>
      </c>
      <c r="P141" s="22">
        <f t="shared" si="26"/>
        <v>1.0950012683903674E-2</v>
      </c>
      <c r="Q141" s="4">
        <v>22.9</v>
      </c>
      <c r="R141" s="4">
        <v>15.7</v>
      </c>
      <c r="S141" s="4">
        <v>11.2</v>
      </c>
      <c r="T141" s="1">
        <v>5</v>
      </c>
      <c r="U141" s="1">
        <v>0</v>
      </c>
      <c r="V141">
        <v>2202</v>
      </c>
      <c r="W141">
        <v>20</v>
      </c>
      <c r="X141">
        <v>1.05</v>
      </c>
      <c r="Y141">
        <v>368</v>
      </c>
      <c r="Z141" s="28">
        <f t="shared" si="28"/>
        <v>0.05</v>
      </c>
      <c r="AA141" s="28">
        <f t="shared" si="29"/>
        <v>1.1000000000000001</v>
      </c>
      <c r="AB141" s="28">
        <f t="shared" si="30"/>
        <v>0.05</v>
      </c>
      <c r="AC141" s="28">
        <f t="shared" si="31"/>
        <v>16.8</v>
      </c>
      <c r="AD141" s="28">
        <f t="shared" si="32"/>
        <v>0</v>
      </c>
      <c r="AE141">
        <f t="shared" si="40"/>
        <v>2.717391304347826E-3</v>
      </c>
      <c r="AF141">
        <f t="shared" si="41"/>
        <v>5.9782608695652176E-2</v>
      </c>
      <c r="AG141">
        <f t="shared" si="42"/>
        <v>2.717391304347826E-3</v>
      </c>
      <c r="AH141">
        <f t="shared" si="43"/>
        <v>0.91304347826086951</v>
      </c>
      <c r="AI141">
        <f t="shared" si="44"/>
        <v>0</v>
      </c>
      <c r="AJ141">
        <v>1</v>
      </c>
      <c r="AK141">
        <v>22</v>
      </c>
      <c r="AL141">
        <v>1</v>
      </c>
      <c r="AM141">
        <v>336</v>
      </c>
      <c r="AN141">
        <v>0</v>
      </c>
      <c r="AO141" s="22">
        <f t="shared" si="33"/>
        <v>0.69314718055994529</v>
      </c>
      <c r="AP141" s="22">
        <f t="shared" si="34"/>
        <v>3.1354942159291497</v>
      </c>
      <c r="AQ141" s="22">
        <f t="shared" si="35"/>
        <v>0.69314718055994529</v>
      </c>
      <c r="AR141" s="22">
        <f t="shared" si="36"/>
        <v>5.8200829303523616</v>
      </c>
      <c r="AS141" s="22">
        <f t="shared" si="37"/>
        <v>0</v>
      </c>
    </row>
    <row r="142" spans="1:45" x14ac:dyDescent="0.25">
      <c r="A142" t="s">
        <v>10</v>
      </c>
      <c r="B142" s="2">
        <v>41107</v>
      </c>
      <c r="C142">
        <v>2194</v>
      </c>
      <c r="D142" s="1">
        <v>2012</v>
      </c>
      <c r="E142" s="1">
        <v>2002</v>
      </c>
      <c r="F142" s="1">
        <v>57850</v>
      </c>
      <c r="G142" s="44">
        <f t="shared" si="27"/>
        <v>1</v>
      </c>
      <c r="H142" s="6">
        <v>42.552833333333332</v>
      </c>
      <c r="I142" s="6">
        <v>-81.471999999999994</v>
      </c>
      <c r="J142">
        <v>42.566916666666664</v>
      </c>
      <c r="K142">
        <v>-81.47208333333333</v>
      </c>
      <c r="L142">
        <v>41.819366666666667</v>
      </c>
      <c r="M142">
        <v>-81.155166666666673</v>
      </c>
      <c r="N142" s="22">
        <f t="shared" si="38"/>
        <v>1.4083579879497335E-2</v>
      </c>
      <c r="O142" s="22">
        <f t="shared" si="39"/>
        <v>0.798972285015076</v>
      </c>
      <c r="P142" s="22">
        <f t="shared" si="26"/>
        <v>1.4083579879497335E-2</v>
      </c>
      <c r="Q142" s="4">
        <v>23.1</v>
      </c>
      <c r="R142" s="4">
        <v>14.5</v>
      </c>
      <c r="S142" s="4">
        <v>13.6</v>
      </c>
      <c r="T142" s="1">
        <v>7</v>
      </c>
      <c r="U142" s="1">
        <v>0</v>
      </c>
      <c r="V142">
        <v>2249</v>
      </c>
      <c r="W142">
        <v>20</v>
      </c>
      <c r="X142">
        <v>0.96</v>
      </c>
      <c r="Y142">
        <v>365</v>
      </c>
      <c r="Z142" s="28">
        <f t="shared" si="28"/>
        <v>0</v>
      </c>
      <c r="AA142" s="28">
        <f t="shared" si="29"/>
        <v>15.9</v>
      </c>
      <c r="AB142" s="28">
        <f t="shared" si="30"/>
        <v>0.2</v>
      </c>
      <c r="AC142" s="28">
        <f t="shared" si="31"/>
        <v>1.85</v>
      </c>
      <c r="AD142" s="28">
        <f t="shared" si="32"/>
        <v>0.15</v>
      </c>
      <c r="AE142">
        <f t="shared" si="40"/>
        <v>0</v>
      </c>
      <c r="AF142">
        <f t="shared" si="41"/>
        <v>0.87123287671232874</v>
      </c>
      <c r="AG142">
        <f t="shared" si="42"/>
        <v>1.0958904109589041E-2</v>
      </c>
      <c r="AH142">
        <f t="shared" si="43"/>
        <v>0.10136986301369863</v>
      </c>
      <c r="AI142">
        <f t="shared" si="44"/>
        <v>8.21917808219178E-3</v>
      </c>
      <c r="AJ142">
        <v>0</v>
      </c>
      <c r="AK142">
        <v>318</v>
      </c>
      <c r="AL142">
        <v>4</v>
      </c>
      <c r="AM142">
        <v>37</v>
      </c>
      <c r="AN142">
        <v>3</v>
      </c>
      <c r="AO142" s="22">
        <f t="shared" si="33"/>
        <v>0</v>
      </c>
      <c r="AP142" s="22">
        <f t="shared" si="34"/>
        <v>5.7651911027848444</v>
      </c>
      <c r="AQ142" s="22">
        <f t="shared" si="35"/>
        <v>1.6094379124341003</v>
      </c>
      <c r="AR142" s="22">
        <f t="shared" si="36"/>
        <v>3.6375861597263857</v>
      </c>
      <c r="AS142" s="22">
        <f t="shared" si="37"/>
        <v>1.3862943611198906</v>
      </c>
    </row>
    <row r="143" spans="1:45" x14ac:dyDescent="0.25">
      <c r="A143" t="s">
        <v>10</v>
      </c>
      <c r="B143" s="2">
        <v>41107</v>
      </c>
      <c r="C143">
        <v>2194</v>
      </c>
      <c r="D143" s="1">
        <v>2012</v>
      </c>
      <c r="E143" s="1">
        <v>2003</v>
      </c>
      <c r="F143" s="1">
        <v>57850</v>
      </c>
      <c r="G143" s="44">
        <f t="shared" si="27"/>
        <v>1</v>
      </c>
      <c r="H143" s="6">
        <v>42.487666666666669</v>
      </c>
      <c r="I143" s="6">
        <v>-81.441833333333335</v>
      </c>
      <c r="J143">
        <v>42.566916666666664</v>
      </c>
      <c r="K143">
        <v>-81.47208333333333</v>
      </c>
      <c r="L143">
        <v>41.819366666666667</v>
      </c>
      <c r="M143">
        <v>-81.155166666666673</v>
      </c>
      <c r="N143" s="22">
        <f t="shared" si="38"/>
        <v>8.48270298902353E-2</v>
      </c>
      <c r="O143" s="22">
        <f t="shared" si="39"/>
        <v>0.72718819282066027</v>
      </c>
      <c r="P143" s="22">
        <f t="shared" si="26"/>
        <v>8.48270298902353E-2</v>
      </c>
      <c r="Q143" s="4">
        <v>25.5</v>
      </c>
      <c r="R143" s="4">
        <v>24.9</v>
      </c>
      <c r="S143" s="4">
        <v>18.899999999999999</v>
      </c>
      <c r="T143" s="1">
        <v>6</v>
      </c>
      <c r="U143" s="1">
        <v>0</v>
      </c>
      <c r="V143">
        <v>2409</v>
      </c>
      <c r="W143">
        <v>20</v>
      </c>
      <c r="X143">
        <v>1.05</v>
      </c>
      <c r="Y143">
        <v>77</v>
      </c>
      <c r="Z143" s="28">
        <f t="shared" si="28"/>
        <v>0</v>
      </c>
      <c r="AA143" s="28">
        <f t="shared" si="29"/>
        <v>1.8</v>
      </c>
      <c r="AB143" s="28">
        <f t="shared" si="30"/>
        <v>0</v>
      </c>
      <c r="AC143" s="28">
        <f t="shared" si="31"/>
        <v>2</v>
      </c>
      <c r="AD143" s="28">
        <f t="shared" si="32"/>
        <v>0.05</v>
      </c>
      <c r="AE143">
        <f t="shared" si="40"/>
        <v>0</v>
      </c>
      <c r="AF143">
        <f t="shared" si="41"/>
        <v>0.46753246753246752</v>
      </c>
      <c r="AG143">
        <f t="shared" si="42"/>
        <v>0</v>
      </c>
      <c r="AH143">
        <f t="shared" si="43"/>
        <v>0.51948051948051943</v>
      </c>
      <c r="AI143">
        <f t="shared" si="44"/>
        <v>1.2987012987012988E-2</v>
      </c>
      <c r="AJ143">
        <v>0</v>
      </c>
      <c r="AK143">
        <v>36</v>
      </c>
      <c r="AL143">
        <v>0</v>
      </c>
      <c r="AM143">
        <v>40</v>
      </c>
      <c r="AN143">
        <v>1</v>
      </c>
      <c r="AO143" s="22">
        <f t="shared" si="33"/>
        <v>0</v>
      </c>
      <c r="AP143" s="22">
        <f t="shared" si="34"/>
        <v>3.6109179126442243</v>
      </c>
      <c r="AQ143" s="22">
        <f t="shared" si="35"/>
        <v>0</v>
      </c>
      <c r="AR143" s="22">
        <f t="shared" si="36"/>
        <v>3.713572066704308</v>
      </c>
      <c r="AS143" s="22">
        <f t="shared" si="37"/>
        <v>0.69314718055994529</v>
      </c>
    </row>
    <row r="144" spans="1:45" x14ac:dyDescent="0.25">
      <c r="A144" t="s">
        <v>10</v>
      </c>
      <c r="B144" s="2">
        <v>41107</v>
      </c>
      <c r="C144">
        <v>2194</v>
      </c>
      <c r="D144" s="1">
        <v>2012</v>
      </c>
      <c r="E144" s="1">
        <v>2004</v>
      </c>
      <c r="F144" s="1">
        <v>57850</v>
      </c>
      <c r="G144" s="44">
        <f t="shared" si="27"/>
        <v>1</v>
      </c>
      <c r="H144" s="6">
        <v>42.481499999999997</v>
      </c>
      <c r="I144" s="6">
        <v>-81.449333333333328</v>
      </c>
      <c r="J144">
        <v>42.566916666666664</v>
      </c>
      <c r="K144">
        <v>-81.47208333333333</v>
      </c>
      <c r="L144">
        <v>41.819366666666667</v>
      </c>
      <c r="M144">
        <v>-81.155166666666673</v>
      </c>
      <c r="N144" s="22">
        <f t="shared" si="38"/>
        <v>8.8394397132649863E-2</v>
      </c>
      <c r="O144" s="22">
        <f t="shared" si="39"/>
        <v>0.72453749308705706</v>
      </c>
      <c r="P144" s="22">
        <f t="shared" si="26"/>
        <v>8.8394397132649863E-2</v>
      </c>
      <c r="Q144" s="4">
        <v>25.5</v>
      </c>
      <c r="R144" s="4">
        <v>20.399999999999999</v>
      </c>
      <c r="S144" s="4">
        <v>19.600000000000001</v>
      </c>
      <c r="T144" s="1">
        <v>10</v>
      </c>
      <c r="U144" s="1">
        <v>0</v>
      </c>
      <c r="V144">
        <v>2454</v>
      </c>
      <c r="W144">
        <v>20</v>
      </c>
      <c r="X144">
        <v>1.1200000000000001</v>
      </c>
      <c r="Y144">
        <v>17</v>
      </c>
      <c r="Z144" s="28">
        <f t="shared" si="28"/>
        <v>0</v>
      </c>
      <c r="AA144" s="28">
        <f t="shared" si="29"/>
        <v>0</v>
      </c>
      <c r="AB144" s="28">
        <f t="shared" si="30"/>
        <v>0</v>
      </c>
      <c r="AC144" s="28">
        <f t="shared" si="31"/>
        <v>0.45</v>
      </c>
      <c r="AD144" s="28">
        <f t="shared" si="32"/>
        <v>0</v>
      </c>
      <c r="AE144">
        <f t="shared" si="40"/>
        <v>0</v>
      </c>
      <c r="AF144">
        <f t="shared" si="41"/>
        <v>0</v>
      </c>
      <c r="AG144">
        <f t="shared" si="42"/>
        <v>0</v>
      </c>
      <c r="AH144">
        <f t="shared" si="43"/>
        <v>0.52941176470588236</v>
      </c>
      <c r="AI144">
        <f t="shared" si="44"/>
        <v>0</v>
      </c>
      <c r="AJ144">
        <v>0</v>
      </c>
      <c r="AK144">
        <v>0</v>
      </c>
      <c r="AL144">
        <v>0</v>
      </c>
      <c r="AM144">
        <v>9</v>
      </c>
      <c r="AN144">
        <v>0</v>
      </c>
      <c r="AO144" s="22">
        <f t="shared" si="33"/>
        <v>0</v>
      </c>
      <c r="AP144" s="22">
        <f t="shared" si="34"/>
        <v>0</v>
      </c>
      <c r="AQ144" s="22">
        <f t="shared" si="35"/>
        <v>0</v>
      </c>
      <c r="AR144" s="22">
        <f t="shared" si="36"/>
        <v>2.3025850929940459</v>
      </c>
      <c r="AS144" s="22">
        <f t="shared" si="37"/>
        <v>0</v>
      </c>
    </row>
    <row r="145" spans="1:45" x14ac:dyDescent="0.25">
      <c r="A145" t="s">
        <v>10</v>
      </c>
      <c r="B145" s="2">
        <v>41108</v>
      </c>
      <c r="C145">
        <v>2194</v>
      </c>
      <c r="D145" s="1">
        <v>2012</v>
      </c>
      <c r="E145" s="1">
        <v>2005</v>
      </c>
      <c r="F145" s="1">
        <v>57850</v>
      </c>
      <c r="G145" s="44">
        <f t="shared" si="27"/>
        <v>1</v>
      </c>
      <c r="H145" s="13">
        <v>42.477499999999999</v>
      </c>
      <c r="I145" s="6">
        <v>-81.4495</v>
      </c>
      <c r="J145">
        <v>42.566916666666664</v>
      </c>
      <c r="K145">
        <v>-81.47208333333333</v>
      </c>
      <c r="L145">
        <v>41.819366666666667</v>
      </c>
      <c r="M145">
        <v>-81.155166666666673</v>
      </c>
      <c r="N145" s="22">
        <f t="shared" si="38"/>
        <v>9.2224439397709287E-2</v>
      </c>
      <c r="O145" s="22">
        <f t="shared" si="39"/>
        <v>0.7209518677107023</v>
      </c>
      <c r="P145" s="22">
        <f t="shared" si="26"/>
        <v>9.2224439397709287E-2</v>
      </c>
      <c r="Q145" s="4">
        <v>25.6</v>
      </c>
      <c r="R145" s="4">
        <v>15</v>
      </c>
      <c r="S145" s="4">
        <v>19.7</v>
      </c>
      <c r="T145" s="21">
        <v>14</v>
      </c>
      <c r="U145" s="21">
        <v>0</v>
      </c>
      <c r="V145">
        <v>2553</v>
      </c>
      <c r="W145">
        <v>20</v>
      </c>
      <c r="X145">
        <v>1.07</v>
      </c>
      <c r="Y145">
        <v>19</v>
      </c>
      <c r="Z145" s="28">
        <f t="shared" si="28"/>
        <v>0</v>
      </c>
      <c r="AA145" s="28">
        <f t="shared" si="29"/>
        <v>0.25</v>
      </c>
      <c r="AB145" s="28">
        <f t="shared" si="30"/>
        <v>0.2</v>
      </c>
      <c r="AC145" s="28">
        <f t="shared" si="31"/>
        <v>0.2</v>
      </c>
      <c r="AD145" s="28">
        <f t="shared" si="32"/>
        <v>0.05</v>
      </c>
      <c r="AE145">
        <f t="shared" si="40"/>
        <v>0</v>
      </c>
      <c r="AF145">
        <f t="shared" si="41"/>
        <v>0.26315789473684209</v>
      </c>
      <c r="AG145">
        <f t="shared" si="42"/>
        <v>0.21052631578947367</v>
      </c>
      <c r="AH145">
        <f t="shared" si="43"/>
        <v>0.21052631578947367</v>
      </c>
      <c r="AI145">
        <f t="shared" si="44"/>
        <v>5.2631578947368418E-2</v>
      </c>
      <c r="AJ145">
        <v>0</v>
      </c>
      <c r="AK145">
        <v>5</v>
      </c>
      <c r="AL145">
        <v>4</v>
      </c>
      <c r="AM145">
        <v>4</v>
      </c>
      <c r="AN145">
        <v>1</v>
      </c>
      <c r="AO145" s="22">
        <f t="shared" si="33"/>
        <v>0</v>
      </c>
      <c r="AP145" s="22">
        <f t="shared" si="34"/>
        <v>1.791759469228055</v>
      </c>
      <c r="AQ145" s="22">
        <f t="shared" si="35"/>
        <v>1.6094379124341003</v>
      </c>
      <c r="AR145" s="22">
        <f t="shared" si="36"/>
        <v>1.6094379124341003</v>
      </c>
      <c r="AS145" s="22">
        <f t="shared" si="37"/>
        <v>0.69314718055994529</v>
      </c>
    </row>
    <row r="146" spans="1:45" x14ac:dyDescent="0.25">
      <c r="A146" t="s">
        <v>10</v>
      </c>
      <c r="B146" s="2">
        <v>41108</v>
      </c>
      <c r="C146">
        <v>2194</v>
      </c>
      <c r="D146" s="1">
        <v>2012</v>
      </c>
      <c r="E146" s="1">
        <v>2006</v>
      </c>
      <c r="F146" s="1">
        <v>57850</v>
      </c>
      <c r="G146" s="44">
        <f t="shared" si="27"/>
        <v>1</v>
      </c>
      <c r="H146" s="6">
        <v>42.332999999999998</v>
      </c>
      <c r="I146" s="6">
        <v>-81.387333333333331</v>
      </c>
      <c r="J146">
        <v>42.566916666666664</v>
      </c>
      <c r="K146">
        <v>-81.47208333333333</v>
      </c>
      <c r="L146">
        <v>41.819366666666667</v>
      </c>
      <c r="M146">
        <v>-81.155166666666673</v>
      </c>
      <c r="N146" s="22">
        <f t="shared" si="38"/>
        <v>0.24879624081654431</v>
      </c>
      <c r="O146" s="22">
        <f t="shared" si="39"/>
        <v>0.56366706682421641</v>
      </c>
      <c r="P146" s="22">
        <f t="shared" ref="P146:P209" si="45">MIN(O146, N146)</f>
        <v>0.24879624081654431</v>
      </c>
      <c r="Q146" s="4">
        <v>25.4</v>
      </c>
      <c r="R146" s="4">
        <v>15.7</v>
      </c>
      <c r="S146" s="4">
        <v>22</v>
      </c>
      <c r="T146" s="1">
        <v>16</v>
      </c>
      <c r="U146" s="1">
        <v>1</v>
      </c>
      <c r="V146">
        <v>2739</v>
      </c>
      <c r="W146">
        <v>20</v>
      </c>
      <c r="X146">
        <v>1.03</v>
      </c>
      <c r="Y146">
        <v>112</v>
      </c>
      <c r="Z146" s="28">
        <f t="shared" si="28"/>
        <v>0.05</v>
      </c>
      <c r="AA146" s="28">
        <f t="shared" si="29"/>
        <v>2.4500000000000002</v>
      </c>
      <c r="AB146" s="28">
        <f t="shared" si="30"/>
        <v>0</v>
      </c>
      <c r="AC146" s="28">
        <f t="shared" si="31"/>
        <v>2.35</v>
      </c>
      <c r="AD146" s="28">
        <f t="shared" si="32"/>
        <v>0.25</v>
      </c>
      <c r="AE146">
        <f t="shared" si="40"/>
        <v>8.9285714285714281E-3</v>
      </c>
      <c r="AF146">
        <f t="shared" si="41"/>
        <v>0.4375</v>
      </c>
      <c r="AG146">
        <f t="shared" si="42"/>
        <v>0</v>
      </c>
      <c r="AH146">
        <f t="shared" si="43"/>
        <v>0.41964285714285715</v>
      </c>
      <c r="AI146">
        <f t="shared" si="44"/>
        <v>4.4642857142857144E-2</v>
      </c>
      <c r="AJ146">
        <v>1</v>
      </c>
      <c r="AK146">
        <v>49</v>
      </c>
      <c r="AL146">
        <v>0</v>
      </c>
      <c r="AM146">
        <v>47</v>
      </c>
      <c r="AN146">
        <v>5</v>
      </c>
      <c r="AO146" s="22">
        <f t="shared" si="33"/>
        <v>0.69314718055994529</v>
      </c>
      <c r="AP146" s="22">
        <f t="shared" si="34"/>
        <v>3.912023005428146</v>
      </c>
      <c r="AQ146" s="22">
        <f t="shared" si="35"/>
        <v>0</v>
      </c>
      <c r="AR146" s="22">
        <f t="shared" si="36"/>
        <v>3.8712010109078911</v>
      </c>
      <c r="AS146" s="22">
        <f t="shared" si="37"/>
        <v>1.791759469228055</v>
      </c>
    </row>
    <row r="147" spans="1:45" x14ac:dyDescent="0.25">
      <c r="A147" t="s">
        <v>10</v>
      </c>
      <c r="B147" s="2">
        <v>41108</v>
      </c>
      <c r="C147">
        <v>2194</v>
      </c>
      <c r="D147" s="1">
        <v>2012</v>
      </c>
      <c r="E147" s="1">
        <v>2007</v>
      </c>
      <c r="F147" s="1">
        <v>57850</v>
      </c>
      <c r="G147" s="44">
        <f t="shared" ref="G147:G210" si="46">IF(F147&lt;57601, 0, 1)</f>
        <v>1</v>
      </c>
      <c r="H147" s="6">
        <v>42.33</v>
      </c>
      <c r="I147" s="6">
        <v>-81.375166666666672</v>
      </c>
      <c r="J147">
        <v>42.566916666666664</v>
      </c>
      <c r="K147">
        <v>-81.47208333333333</v>
      </c>
      <c r="L147">
        <v>41.819366666666667</v>
      </c>
      <c r="M147">
        <v>-81.155166666666673</v>
      </c>
      <c r="N147" s="22">
        <f t="shared" si="38"/>
        <v>0.25597333302947817</v>
      </c>
      <c r="O147" s="22">
        <f t="shared" si="39"/>
        <v>0.55600935343850855</v>
      </c>
      <c r="P147" s="22">
        <f t="shared" si="45"/>
        <v>0.25597333302947817</v>
      </c>
      <c r="Q147" s="4">
        <v>25.4</v>
      </c>
      <c r="R147" s="4">
        <v>25.1</v>
      </c>
      <c r="S147" s="4">
        <v>22.3</v>
      </c>
      <c r="T147" s="1">
        <v>12</v>
      </c>
      <c r="U147" s="1">
        <v>0</v>
      </c>
      <c r="V147">
        <v>2824</v>
      </c>
      <c r="W147">
        <v>20</v>
      </c>
      <c r="X147">
        <v>1.03</v>
      </c>
      <c r="Y147">
        <v>143</v>
      </c>
      <c r="Z147" s="28">
        <f t="shared" ref="Z147:Z210" si="47">AJ147/$W147</f>
        <v>0.6</v>
      </c>
      <c r="AA147" s="28">
        <f t="shared" ref="AA147:AA210" si="48">AK147/$W147</f>
        <v>0.55000000000000004</v>
      </c>
      <c r="AB147" s="28">
        <f t="shared" ref="AB147:AB210" si="49">AL147/$W147</f>
        <v>0</v>
      </c>
      <c r="AC147" s="28">
        <f t="shared" ref="AC147:AC210" si="50">AM147/$W147</f>
        <v>5.35</v>
      </c>
      <c r="AD147" s="28">
        <f t="shared" ref="AD147:AD210" si="51">AN147/$W147</f>
        <v>0.1</v>
      </c>
      <c r="AE147">
        <f t="shared" si="40"/>
        <v>8.3916083916083919E-2</v>
      </c>
      <c r="AF147">
        <f t="shared" si="41"/>
        <v>7.6923076923076927E-2</v>
      </c>
      <c r="AG147">
        <f t="shared" si="42"/>
        <v>0</v>
      </c>
      <c r="AH147">
        <f t="shared" si="43"/>
        <v>0.74825174825174823</v>
      </c>
      <c r="AI147">
        <f t="shared" si="44"/>
        <v>1.3986013986013986E-2</v>
      </c>
      <c r="AJ147">
        <v>12</v>
      </c>
      <c r="AK147">
        <v>11</v>
      </c>
      <c r="AL147">
        <v>0</v>
      </c>
      <c r="AM147">
        <v>107</v>
      </c>
      <c r="AN147">
        <v>2</v>
      </c>
      <c r="AO147" s="22">
        <f t="shared" ref="AO147:AO210" si="52">LN(AJ147+1)</f>
        <v>2.5649493574615367</v>
      </c>
      <c r="AP147" s="22">
        <f t="shared" ref="AP147:AP210" si="53">LN(AK147+1)</f>
        <v>2.4849066497880004</v>
      </c>
      <c r="AQ147" s="22">
        <f t="shared" ref="AQ147:AQ210" si="54">LN(AL147+1)</f>
        <v>0</v>
      </c>
      <c r="AR147" s="22">
        <f t="shared" ref="AR147:AR210" si="55">LN(AM147+1)</f>
        <v>4.6821312271242199</v>
      </c>
      <c r="AS147" s="22">
        <f t="shared" ref="AS147:AS210" si="56">LN(AN147+1)</f>
        <v>1.0986122886681098</v>
      </c>
    </row>
    <row r="148" spans="1:45" x14ac:dyDescent="0.25">
      <c r="A148" t="s">
        <v>10</v>
      </c>
      <c r="B148" s="2">
        <v>41108</v>
      </c>
      <c r="C148">
        <v>2194</v>
      </c>
      <c r="D148" s="1">
        <v>2012</v>
      </c>
      <c r="E148" s="1">
        <v>2008</v>
      </c>
      <c r="F148" s="1">
        <v>57850</v>
      </c>
      <c r="G148" s="44">
        <f t="shared" si="46"/>
        <v>1</v>
      </c>
      <c r="H148" s="6">
        <v>42.310499999999998</v>
      </c>
      <c r="I148" s="15">
        <v>-81.36933333333333</v>
      </c>
      <c r="J148">
        <v>42.566916666666664</v>
      </c>
      <c r="K148">
        <v>-81.47208333333333</v>
      </c>
      <c r="L148">
        <v>41.819366666666667</v>
      </c>
      <c r="M148">
        <v>-81.155166666666673</v>
      </c>
      <c r="N148" s="22">
        <f t="shared" si="38"/>
        <v>0.27623734259589966</v>
      </c>
      <c r="O148" s="22">
        <f t="shared" si="39"/>
        <v>0.5357978277505564</v>
      </c>
      <c r="P148" s="22">
        <f t="shared" si="45"/>
        <v>0.27623734259589966</v>
      </c>
      <c r="Q148" s="4">
        <v>25.4</v>
      </c>
      <c r="R148" s="4">
        <v>25.4</v>
      </c>
      <c r="S148" s="4">
        <v>22.5</v>
      </c>
      <c r="T148" s="1">
        <v>9</v>
      </c>
      <c r="U148" s="1">
        <v>0</v>
      </c>
      <c r="V148">
        <v>2905</v>
      </c>
      <c r="W148">
        <v>20</v>
      </c>
      <c r="X148">
        <v>1.04</v>
      </c>
      <c r="Y148">
        <v>51</v>
      </c>
      <c r="Z148" s="28">
        <f t="shared" si="47"/>
        <v>0</v>
      </c>
      <c r="AA148" s="28">
        <f t="shared" si="48"/>
        <v>0</v>
      </c>
      <c r="AB148" s="28">
        <f t="shared" si="49"/>
        <v>0</v>
      </c>
      <c r="AC148" s="28">
        <f t="shared" si="50"/>
        <v>2.25</v>
      </c>
      <c r="AD148" s="28">
        <f t="shared" si="51"/>
        <v>0.15</v>
      </c>
      <c r="AE148">
        <f t="shared" si="40"/>
        <v>0</v>
      </c>
      <c r="AF148">
        <f t="shared" si="41"/>
        <v>0</v>
      </c>
      <c r="AG148">
        <f t="shared" si="42"/>
        <v>0</v>
      </c>
      <c r="AH148">
        <f t="shared" si="43"/>
        <v>0.88235294117647056</v>
      </c>
      <c r="AI148">
        <f t="shared" si="44"/>
        <v>5.8823529411764705E-2</v>
      </c>
      <c r="AJ148">
        <v>0</v>
      </c>
      <c r="AK148">
        <v>0</v>
      </c>
      <c r="AL148">
        <v>0</v>
      </c>
      <c r="AM148">
        <v>45</v>
      </c>
      <c r="AN148">
        <v>3</v>
      </c>
      <c r="AO148" s="22">
        <f t="shared" si="52"/>
        <v>0</v>
      </c>
      <c r="AP148" s="22">
        <f t="shared" si="53"/>
        <v>0</v>
      </c>
      <c r="AQ148" s="22">
        <f t="shared" si="54"/>
        <v>0</v>
      </c>
      <c r="AR148" s="22">
        <f t="shared" si="55"/>
        <v>3.8286413964890951</v>
      </c>
      <c r="AS148" s="22">
        <f t="shared" si="56"/>
        <v>1.3862943611198906</v>
      </c>
    </row>
    <row r="149" spans="1:45" x14ac:dyDescent="0.25">
      <c r="A149" t="s">
        <v>10</v>
      </c>
      <c r="B149" s="2">
        <v>41108</v>
      </c>
      <c r="C149">
        <v>2194</v>
      </c>
      <c r="D149" s="1">
        <v>2012</v>
      </c>
      <c r="E149" s="1">
        <v>3001</v>
      </c>
      <c r="F149" s="1">
        <v>57600</v>
      </c>
      <c r="G149" s="44">
        <f t="shared" si="46"/>
        <v>0</v>
      </c>
      <c r="H149" s="6">
        <v>42.070166666666665</v>
      </c>
      <c r="I149" s="6">
        <v>-81.746166666666667</v>
      </c>
      <c r="J149">
        <v>42.261233333333337</v>
      </c>
      <c r="K149">
        <v>-81.829883333333328</v>
      </c>
      <c r="L149">
        <v>41.621000000000002</v>
      </c>
      <c r="M149">
        <v>-81.539483333333337</v>
      </c>
      <c r="N149" s="22">
        <f t="shared" si="38"/>
        <v>0.20860237627814704</v>
      </c>
      <c r="O149" s="22">
        <f t="shared" si="39"/>
        <v>0.49443775616574626</v>
      </c>
      <c r="P149" s="22">
        <f t="shared" si="45"/>
        <v>0.20860237627814704</v>
      </c>
      <c r="Q149" s="4">
        <v>26</v>
      </c>
      <c r="R149" s="4">
        <v>22.4</v>
      </c>
      <c r="S149" s="4">
        <v>23.8</v>
      </c>
      <c r="T149" s="1">
        <v>13</v>
      </c>
      <c r="U149" s="1">
        <v>1</v>
      </c>
      <c r="V149">
        <v>2211</v>
      </c>
      <c r="W149">
        <v>20</v>
      </c>
      <c r="X149">
        <v>0.97</v>
      </c>
      <c r="Y149">
        <v>17</v>
      </c>
      <c r="Z149" s="28">
        <f t="shared" si="47"/>
        <v>0</v>
      </c>
      <c r="AA149" s="28">
        <f t="shared" si="48"/>
        <v>0.5</v>
      </c>
      <c r="AB149" s="28">
        <f t="shared" si="49"/>
        <v>0</v>
      </c>
      <c r="AC149" s="28">
        <f t="shared" si="50"/>
        <v>0.1</v>
      </c>
      <c r="AD149" s="28">
        <f t="shared" si="51"/>
        <v>0.05</v>
      </c>
      <c r="AE149">
        <f t="shared" si="40"/>
        <v>0</v>
      </c>
      <c r="AF149">
        <f t="shared" si="41"/>
        <v>0.58823529411764708</v>
      </c>
      <c r="AG149">
        <f t="shared" si="42"/>
        <v>0</v>
      </c>
      <c r="AH149">
        <f t="shared" si="43"/>
        <v>0.11764705882352941</v>
      </c>
      <c r="AI149">
        <f t="shared" si="44"/>
        <v>5.8823529411764705E-2</v>
      </c>
      <c r="AJ149">
        <v>0</v>
      </c>
      <c r="AK149">
        <v>10</v>
      </c>
      <c r="AL149">
        <v>0</v>
      </c>
      <c r="AM149">
        <v>2</v>
      </c>
      <c r="AN149">
        <v>1</v>
      </c>
      <c r="AO149" s="22">
        <f t="shared" si="52"/>
        <v>0</v>
      </c>
      <c r="AP149" s="22">
        <f t="shared" si="53"/>
        <v>2.3978952727983707</v>
      </c>
      <c r="AQ149" s="22">
        <f t="shared" si="54"/>
        <v>0</v>
      </c>
      <c r="AR149" s="22">
        <f t="shared" si="55"/>
        <v>1.0986122886681098</v>
      </c>
      <c r="AS149" s="22">
        <f t="shared" si="56"/>
        <v>0.69314718055994529</v>
      </c>
    </row>
    <row r="150" spans="1:45" x14ac:dyDescent="0.25">
      <c r="A150" t="s">
        <v>10</v>
      </c>
      <c r="B150" s="2">
        <v>41108</v>
      </c>
      <c r="C150">
        <v>2194</v>
      </c>
      <c r="D150" s="1">
        <v>2012</v>
      </c>
      <c r="E150" s="1">
        <v>3002</v>
      </c>
      <c r="F150" s="1">
        <v>57600</v>
      </c>
      <c r="G150" s="44">
        <f t="shared" si="46"/>
        <v>0</v>
      </c>
      <c r="H150" s="6">
        <v>42.054166666666667</v>
      </c>
      <c r="I150" s="6">
        <v>-81.739500000000007</v>
      </c>
      <c r="J150">
        <v>42.261233333333337</v>
      </c>
      <c r="K150">
        <v>-81.829883333333328</v>
      </c>
      <c r="L150">
        <v>41.621000000000002</v>
      </c>
      <c r="M150">
        <v>-81.539483333333337</v>
      </c>
      <c r="N150" s="22">
        <f t="shared" si="38"/>
        <v>0.22593306838284627</v>
      </c>
      <c r="O150" s="22">
        <f t="shared" si="39"/>
        <v>0.47711636741528307</v>
      </c>
      <c r="P150" s="22">
        <f t="shared" si="45"/>
        <v>0.22593306838284627</v>
      </c>
      <c r="Q150" s="4">
        <v>26</v>
      </c>
      <c r="R150" s="4">
        <v>20.7</v>
      </c>
      <c r="S150" s="4">
        <v>23.5</v>
      </c>
      <c r="T150" s="1">
        <v>14</v>
      </c>
      <c r="U150" s="1">
        <v>1</v>
      </c>
      <c r="V150">
        <v>2245</v>
      </c>
      <c r="W150">
        <v>20</v>
      </c>
      <c r="X150">
        <v>0.98</v>
      </c>
      <c r="Y150">
        <v>16</v>
      </c>
      <c r="Z150" s="28">
        <f t="shared" si="47"/>
        <v>0</v>
      </c>
      <c r="AA150" s="28">
        <f t="shared" si="48"/>
        <v>0.2</v>
      </c>
      <c r="AB150" s="28">
        <f t="shared" si="49"/>
        <v>0.05</v>
      </c>
      <c r="AC150" s="28">
        <f t="shared" si="50"/>
        <v>0.25</v>
      </c>
      <c r="AD150" s="28">
        <f t="shared" si="51"/>
        <v>0</v>
      </c>
      <c r="AE150">
        <f t="shared" si="40"/>
        <v>0</v>
      </c>
      <c r="AF150">
        <f t="shared" si="41"/>
        <v>0.25</v>
      </c>
      <c r="AG150">
        <f t="shared" si="42"/>
        <v>6.25E-2</v>
      </c>
      <c r="AH150">
        <f t="shared" si="43"/>
        <v>0.3125</v>
      </c>
      <c r="AI150">
        <f t="shared" si="44"/>
        <v>0</v>
      </c>
      <c r="AJ150">
        <v>0</v>
      </c>
      <c r="AK150">
        <v>4</v>
      </c>
      <c r="AL150">
        <v>1</v>
      </c>
      <c r="AM150">
        <v>5</v>
      </c>
      <c r="AN150">
        <v>0</v>
      </c>
      <c r="AO150" s="22">
        <f t="shared" si="52"/>
        <v>0</v>
      </c>
      <c r="AP150" s="22">
        <f t="shared" si="53"/>
        <v>1.6094379124341003</v>
      </c>
      <c r="AQ150" s="22">
        <f t="shared" si="54"/>
        <v>0.69314718055994529</v>
      </c>
      <c r="AR150" s="22">
        <f t="shared" si="55"/>
        <v>1.791759469228055</v>
      </c>
      <c r="AS150" s="22">
        <f t="shared" si="56"/>
        <v>0</v>
      </c>
    </row>
    <row r="151" spans="1:45" x14ac:dyDescent="0.25">
      <c r="A151" t="s">
        <v>10</v>
      </c>
      <c r="B151" s="2">
        <v>41108</v>
      </c>
      <c r="C151">
        <v>2194</v>
      </c>
      <c r="D151" s="1">
        <v>2012</v>
      </c>
      <c r="E151" s="1">
        <v>3003</v>
      </c>
      <c r="F151" s="1">
        <v>57600</v>
      </c>
      <c r="G151" s="44">
        <f t="shared" si="46"/>
        <v>0</v>
      </c>
      <c r="H151" s="6">
        <v>42.073333333333331</v>
      </c>
      <c r="I151" s="6">
        <v>-81.742500000000007</v>
      </c>
      <c r="J151">
        <v>42.261233333333337</v>
      </c>
      <c r="K151">
        <v>-81.829883333333328</v>
      </c>
      <c r="L151">
        <v>41.621000000000002</v>
      </c>
      <c r="M151">
        <v>-81.539483333333337</v>
      </c>
      <c r="N151" s="22">
        <f t="shared" si="38"/>
        <v>0.20722513588955516</v>
      </c>
      <c r="O151" s="22">
        <f t="shared" si="39"/>
        <v>0.49580360162960274</v>
      </c>
      <c r="P151" s="22">
        <f t="shared" si="45"/>
        <v>0.20722513588955516</v>
      </c>
      <c r="Q151" s="4">
        <v>26</v>
      </c>
      <c r="R151" s="4">
        <v>13.4</v>
      </c>
      <c r="S151" s="4">
        <v>23.3</v>
      </c>
      <c r="T151" s="1">
        <v>21</v>
      </c>
      <c r="U151" s="1">
        <v>1</v>
      </c>
      <c r="V151">
        <v>2319</v>
      </c>
      <c r="W151">
        <v>20</v>
      </c>
      <c r="X151">
        <v>1.03</v>
      </c>
      <c r="Y151">
        <v>147</v>
      </c>
      <c r="Z151" s="28">
        <f t="shared" si="47"/>
        <v>0</v>
      </c>
      <c r="AA151" s="28">
        <f t="shared" si="48"/>
        <v>2.75</v>
      </c>
      <c r="AB151" s="28">
        <f t="shared" si="49"/>
        <v>3.55</v>
      </c>
      <c r="AC151" s="28">
        <f t="shared" si="50"/>
        <v>0.35</v>
      </c>
      <c r="AD151" s="28">
        <f t="shared" si="51"/>
        <v>0.65</v>
      </c>
      <c r="AE151">
        <f t="shared" si="40"/>
        <v>0</v>
      </c>
      <c r="AF151">
        <f t="shared" si="41"/>
        <v>0.37414965986394561</v>
      </c>
      <c r="AG151">
        <f t="shared" si="42"/>
        <v>0.48299319727891155</v>
      </c>
      <c r="AH151">
        <f t="shared" si="43"/>
        <v>4.7619047619047616E-2</v>
      </c>
      <c r="AI151">
        <f t="shared" si="44"/>
        <v>8.8435374149659865E-2</v>
      </c>
      <c r="AJ151">
        <v>0</v>
      </c>
      <c r="AK151">
        <v>55</v>
      </c>
      <c r="AL151">
        <v>71</v>
      </c>
      <c r="AM151">
        <v>7</v>
      </c>
      <c r="AN151">
        <v>13</v>
      </c>
      <c r="AO151" s="22">
        <f t="shared" si="52"/>
        <v>0</v>
      </c>
      <c r="AP151" s="22">
        <f t="shared" si="53"/>
        <v>4.0253516907351496</v>
      </c>
      <c r="AQ151" s="22">
        <f t="shared" si="54"/>
        <v>4.2766661190160553</v>
      </c>
      <c r="AR151" s="22">
        <f t="shared" si="55"/>
        <v>2.0794415416798357</v>
      </c>
      <c r="AS151" s="22">
        <f t="shared" si="56"/>
        <v>2.6390573296152584</v>
      </c>
    </row>
    <row r="152" spans="1:45" x14ac:dyDescent="0.25">
      <c r="A152" t="s">
        <v>10</v>
      </c>
      <c r="B152" s="2">
        <v>41108</v>
      </c>
      <c r="C152">
        <v>2194</v>
      </c>
      <c r="D152" s="1">
        <v>2012</v>
      </c>
      <c r="E152" s="1">
        <v>3004</v>
      </c>
      <c r="F152" s="1">
        <v>57600</v>
      </c>
      <c r="G152" s="44">
        <f t="shared" si="46"/>
        <v>0</v>
      </c>
      <c r="H152" s="6">
        <v>42.058166666666665</v>
      </c>
      <c r="I152" s="6">
        <v>-81.736333333333334</v>
      </c>
      <c r="J152">
        <v>42.261233333333337</v>
      </c>
      <c r="K152">
        <v>-81.829883333333328</v>
      </c>
      <c r="L152">
        <v>41.621000000000002</v>
      </c>
      <c r="M152">
        <v>-81.539483333333337</v>
      </c>
      <c r="N152" s="22">
        <f t="shared" si="38"/>
        <v>0.22357923340755947</v>
      </c>
      <c r="O152" s="22">
        <f t="shared" si="39"/>
        <v>0.47944198496214335</v>
      </c>
      <c r="P152" s="22">
        <f t="shared" si="45"/>
        <v>0.22357923340755947</v>
      </c>
      <c r="Q152" s="4">
        <v>25.9</v>
      </c>
      <c r="R152" s="4">
        <v>19.2</v>
      </c>
      <c r="S152" s="4">
        <v>23.6</v>
      </c>
      <c r="T152" s="1">
        <v>16</v>
      </c>
      <c r="U152" s="1">
        <v>1</v>
      </c>
      <c r="V152">
        <v>2412</v>
      </c>
      <c r="W152">
        <v>20</v>
      </c>
      <c r="X152">
        <v>1.05</v>
      </c>
      <c r="Y152">
        <v>10</v>
      </c>
      <c r="Z152" s="28">
        <f t="shared" si="47"/>
        <v>0</v>
      </c>
      <c r="AA152" s="28">
        <f t="shared" si="48"/>
        <v>0.15</v>
      </c>
      <c r="AB152" s="28">
        <f t="shared" si="49"/>
        <v>0.05</v>
      </c>
      <c r="AC152" s="28">
        <f t="shared" si="50"/>
        <v>0.25</v>
      </c>
      <c r="AD152" s="28">
        <f t="shared" si="51"/>
        <v>0</v>
      </c>
      <c r="AE152">
        <f t="shared" si="40"/>
        <v>0</v>
      </c>
      <c r="AF152">
        <f t="shared" si="41"/>
        <v>0.3</v>
      </c>
      <c r="AG152">
        <f t="shared" si="42"/>
        <v>0.1</v>
      </c>
      <c r="AH152">
        <f t="shared" si="43"/>
        <v>0.5</v>
      </c>
      <c r="AI152">
        <f t="shared" si="44"/>
        <v>0</v>
      </c>
      <c r="AJ152">
        <v>0</v>
      </c>
      <c r="AK152">
        <v>3</v>
      </c>
      <c r="AL152">
        <v>1</v>
      </c>
      <c r="AM152">
        <v>5</v>
      </c>
      <c r="AN152">
        <v>0</v>
      </c>
      <c r="AO152" s="22">
        <f t="shared" si="52"/>
        <v>0</v>
      </c>
      <c r="AP152" s="22">
        <f t="shared" si="53"/>
        <v>1.3862943611198906</v>
      </c>
      <c r="AQ152" s="22">
        <f t="shared" si="54"/>
        <v>0.69314718055994529</v>
      </c>
      <c r="AR152" s="22">
        <f t="shared" si="55"/>
        <v>1.791759469228055</v>
      </c>
      <c r="AS152" s="22">
        <f t="shared" si="56"/>
        <v>0</v>
      </c>
    </row>
    <row r="153" spans="1:45" x14ac:dyDescent="0.25">
      <c r="A153" t="s">
        <v>10</v>
      </c>
      <c r="B153" s="2">
        <v>41109</v>
      </c>
      <c r="C153">
        <v>2194</v>
      </c>
      <c r="D153" s="1">
        <v>2012</v>
      </c>
      <c r="E153" s="1">
        <v>3005</v>
      </c>
      <c r="F153" s="1">
        <v>57600</v>
      </c>
      <c r="G153" s="44">
        <f t="shared" si="46"/>
        <v>0</v>
      </c>
      <c r="H153" s="6">
        <v>42.215000000000003</v>
      </c>
      <c r="I153" s="6">
        <v>-81.81</v>
      </c>
      <c r="J153">
        <v>42.261233333333337</v>
      </c>
      <c r="K153">
        <v>-81.829883333333328</v>
      </c>
      <c r="L153">
        <v>41.621000000000002</v>
      </c>
      <c r="M153">
        <v>-81.539483333333337</v>
      </c>
      <c r="N153" s="22">
        <f t="shared" ref="N153:N216" si="57">SQRT(((I153-K153)^2)+((H153-J153)^2))</f>
        <v>5.0327607290186614E-2</v>
      </c>
      <c r="O153" s="22">
        <f t="shared" ref="O153:O216" si="58">SQRT(((I153-M153)^2)+((H153-L153)^2))</f>
        <v>0.65269845023904061</v>
      </c>
      <c r="P153" s="22">
        <f t="shared" si="45"/>
        <v>5.0327607290186614E-2</v>
      </c>
      <c r="Q153" s="4">
        <v>26.2</v>
      </c>
      <c r="R153" s="4">
        <v>15.1</v>
      </c>
      <c r="S153" s="4">
        <v>19.3</v>
      </c>
      <c r="T153" s="1">
        <v>14</v>
      </c>
      <c r="U153" s="1">
        <v>1</v>
      </c>
      <c r="V153">
        <v>2553</v>
      </c>
      <c r="W153">
        <v>20</v>
      </c>
      <c r="X153">
        <v>1.01</v>
      </c>
      <c r="Y153">
        <v>271</v>
      </c>
      <c r="Z153" s="28">
        <f t="shared" si="47"/>
        <v>0.15</v>
      </c>
      <c r="AA153" s="28">
        <f t="shared" si="48"/>
        <v>9.4</v>
      </c>
      <c r="AB153" s="28">
        <f t="shared" si="49"/>
        <v>0.05</v>
      </c>
      <c r="AC153" s="28">
        <f t="shared" si="50"/>
        <v>1.4</v>
      </c>
      <c r="AD153" s="28">
        <f t="shared" si="51"/>
        <v>2.4500000000000002</v>
      </c>
      <c r="AE153">
        <f t="shared" si="40"/>
        <v>1.107011070110701E-2</v>
      </c>
      <c r="AF153">
        <f t="shared" si="41"/>
        <v>0.69372693726937273</v>
      </c>
      <c r="AG153">
        <f t="shared" si="42"/>
        <v>3.6900369003690036E-3</v>
      </c>
      <c r="AH153">
        <f t="shared" si="43"/>
        <v>0.10332103321033211</v>
      </c>
      <c r="AI153">
        <f t="shared" si="44"/>
        <v>0.18081180811808117</v>
      </c>
      <c r="AJ153">
        <v>3</v>
      </c>
      <c r="AK153">
        <v>188</v>
      </c>
      <c r="AL153">
        <v>1</v>
      </c>
      <c r="AM153">
        <v>28</v>
      </c>
      <c r="AN153">
        <v>49</v>
      </c>
      <c r="AO153" s="22">
        <f t="shared" si="52"/>
        <v>1.3862943611198906</v>
      </c>
      <c r="AP153" s="22">
        <f t="shared" si="53"/>
        <v>5.2417470150596426</v>
      </c>
      <c r="AQ153" s="22">
        <f t="shared" si="54"/>
        <v>0.69314718055994529</v>
      </c>
      <c r="AR153" s="22">
        <f t="shared" si="55"/>
        <v>3.3672958299864741</v>
      </c>
      <c r="AS153" s="22">
        <f t="shared" si="56"/>
        <v>3.912023005428146</v>
      </c>
    </row>
    <row r="154" spans="1:45" x14ac:dyDescent="0.25">
      <c r="A154" t="s">
        <v>10</v>
      </c>
      <c r="B154" s="2">
        <v>41109</v>
      </c>
      <c r="C154">
        <v>2194</v>
      </c>
      <c r="D154" s="1">
        <v>2012</v>
      </c>
      <c r="E154" s="1">
        <v>3006</v>
      </c>
      <c r="F154" s="1">
        <v>57600</v>
      </c>
      <c r="G154" s="44">
        <f t="shared" si="46"/>
        <v>0</v>
      </c>
      <c r="H154" s="6">
        <v>42.228000000000002</v>
      </c>
      <c r="I154" s="6">
        <v>-81.81183333333334</v>
      </c>
      <c r="J154">
        <v>42.261233333333337</v>
      </c>
      <c r="K154">
        <v>-81.829883333333328</v>
      </c>
      <c r="L154">
        <v>41.621000000000002</v>
      </c>
      <c r="M154">
        <v>-81.539483333333337</v>
      </c>
      <c r="N154" s="22">
        <f t="shared" si="57"/>
        <v>3.7818738007026904E-2</v>
      </c>
      <c r="O154" s="22">
        <f t="shared" si="58"/>
        <v>0.66529957350054025</v>
      </c>
      <c r="P154" s="22">
        <f t="shared" si="45"/>
        <v>3.7818738007026904E-2</v>
      </c>
      <c r="Q154" s="4">
        <v>26.2</v>
      </c>
      <c r="R154" s="4">
        <v>24.4</v>
      </c>
      <c r="S154" s="4">
        <v>19</v>
      </c>
      <c r="T154" s="1">
        <v>10</v>
      </c>
      <c r="U154" s="1">
        <v>0</v>
      </c>
      <c r="V154">
        <v>2638</v>
      </c>
      <c r="W154">
        <v>20</v>
      </c>
      <c r="X154">
        <v>0.99</v>
      </c>
      <c r="Y154">
        <v>299</v>
      </c>
      <c r="Z154" s="28">
        <f t="shared" si="47"/>
        <v>0.2</v>
      </c>
      <c r="AA154" s="28">
        <f t="shared" si="48"/>
        <v>0.8</v>
      </c>
      <c r="AB154" s="28">
        <f t="shared" si="49"/>
        <v>0</v>
      </c>
      <c r="AC154" s="28">
        <f t="shared" si="50"/>
        <v>13.35</v>
      </c>
      <c r="AD154" s="28">
        <f t="shared" si="51"/>
        <v>0.05</v>
      </c>
      <c r="AE154">
        <f t="shared" si="40"/>
        <v>1.3377926421404682E-2</v>
      </c>
      <c r="AF154">
        <f t="shared" si="41"/>
        <v>5.3511705685618728E-2</v>
      </c>
      <c r="AG154">
        <f t="shared" si="42"/>
        <v>0</v>
      </c>
      <c r="AH154">
        <f t="shared" si="43"/>
        <v>0.8929765886287625</v>
      </c>
      <c r="AI154">
        <f t="shared" si="44"/>
        <v>3.3444816053511705E-3</v>
      </c>
      <c r="AJ154">
        <v>4</v>
      </c>
      <c r="AK154">
        <v>16</v>
      </c>
      <c r="AL154">
        <v>0</v>
      </c>
      <c r="AM154">
        <v>267</v>
      </c>
      <c r="AN154">
        <v>1</v>
      </c>
      <c r="AO154" s="22">
        <f t="shared" si="52"/>
        <v>1.6094379124341003</v>
      </c>
      <c r="AP154" s="22">
        <f t="shared" si="53"/>
        <v>2.8332133440562162</v>
      </c>
      <c r="AQ154" s="22">
        <f t="shared" si="54"/>
        <v>0</v>
      </c>
      <c r="AR154" s="22">
        <f t="shared" si="55"/>
        <v>5.5909869805108565</v>
      </c>
      <c r="AS154" s="22">
        <f t="shared" si="56"/>
        <v>0.69314718055994529</v>
      </c>
    </row>
    <row r="155" spans="1:45" x14ac:dyDescent="0.25">
      <c r="A155" t="s">
        <v>10</v>
      </c>
      <c r="B155" s="2">
        <v>41109</v>
      </c>
      <c r="C155">
        <v>2194</v>
      </c>
      <c r="D155" s="1">
        <v>2012</v>
      </c>
      <c r="E155" s="1">
        <v>3007</v>
      </c>
      <c r="F155" s="1">
        <v>57600</v>
      </c>
      <c r="G155" s="44">
        <f t="shared" si="46"/>
        <v>0</v>
      </c>
      <c r="H155" s="6">
        <v>42.212000000000003</v>
      </c>
      <c r="I155" s="6">
        <v>-81.802000000000007</v>
      </c>
      <c r="J155">
        <v>42.261233333333337</v>
      </c>
      <c r="K155">
        <v>-81.829883333333328</v>
      </c>
      <c r="L155">
        <v>41.621000000000002</v>
      </c>
      <c r="M155">
        <v>-81.539483333333337</v>
      </c>
      <c r="N155" s="22">
        <f t="shared" si="57"/>
        <v>5.6580927783911571E-2</v>
      </c>
      <c r="O155" s="22">
        <f t="shared" si="58"/>
        <v>0.6466807560750365</v>
      </c>
      <c r="P155" s="22">
        <f t="shared" si="45"/>
        <v>5.6580927783911571E-2</v>
      </c>
      <c r="Q155" s="4">
        <v>26.1</v>
      </c>
      <c r="R155" s="4">
        <v>21.8</v>
      </c>
      <c r="S155" s="4">
        <v>19.8</v>
      </c>
      <c r="T155" s="1">
        <v>12</v>
      </c>
      <c r="U155" s="1">
        <v>1</v>
      </c>
      <c r="V155">
        <v>2722</v>
      </c>
      <c r="W155">
        <v>20</v>
      </c>
      <c r="X155">
        <v>0.96</v>
      </c>
      <c r="Y155">
        <v>75</v>
      </c>
      <c r="Z155" s="28">
        <f t="shared" si="47"/>
        <v>0.1</v>
      </c>
      <c r="AA155" s="28">
        <f t="shared" si="48"/>
        <v>0.15</v>
      </c>
      <c r="AB155" s="28">
        <f t="shared" si="49"/>
        <v>0</v>
      </c>
      <c r="AC155" s="28">
        <f t="shared" si="50"/>
        <v>2.4</v>
      </c>
      <c r="AD155" s="28">
        <f t="shared" si="51"/>
        <v>0.2</v>
      </c>
      <c r="AE155">
        <f t="shared" si="40"/>
        <v>2.6666666666666668E-2</v>
      </c>
      <c r="AF155">
        <f t="shared" si="41"/>
        <v>0.04</v>
      </c>
      <c r="AG155">
        <f t="shared" si="42"/>
        <v>0</v>
      </c>
      <c r="AH155">
        <f t="shared" si="43"/>
        <v>0.64</v>
      </c>
      <c r="AI155">
        <f t="shared" si="44"/>
        <v>5.3333333333333337E-2</v>
      </c>
      <c r="AJ155">
        <v>2</v>
      </c>
      <c r="AK155">
        <v>3</v>
      </c>
      <c r="AL155">
        <v>0</v>
      </c>
      <c r="AM155">
        <v>48</v>
      </c>
      <c r="AN155">
        <v>4</v>
      </c>
      <c r="AO155" s="22">
        <f t="shared" si="52"/>
        <v>1.0986122886681098</v>
      </c>
      <c r="AP155" s="22">
        <f t="shared" si="53"/>
        <v>1.3862943611198906</v>
      </c>
      <c r="AQ155" s="22">
        <f t="shared" si="54"/>
        <v>0</v>
      </c>
      <c r="AR155" s="22">
        <f t="shared" si="55"/>
        <v>3.8918202981106265</v>
      </c>
      <c r="AS155" s="22">
        <f t="shared" si="56"/>
        <v>1.6094379124341003</v>
      </c>
    </row>
    <row r="156" spans="1:45" x14ac:dyDescent="0.25">
      <c r="A156" t="s">
        <v>10</v>
      </c>
      <c r="B156" s="2">
        <v>41109</v>
      </c>
      <c r="C156">
        <v>2194</v>
      </c>
      <c r="D156" s="1">
        <v>2012</v>
      </c>
      <c r="E156" s="1">
        <v>3008</v>
      </c>
      <c r="F156" s="1">
        <v>57600</v>
      </c>
      <c r="G156" s="44">
        <f t="shared" si="46"/>
        <v>0</v>
      </c>
      <c r="H156" s="6">
        <v>42.25783333333333</v>
      </c>
      <c r="I156" s="6">
        <v>-81.828500000000005</v>
      </c>
      <c r="J156">
        <v>42.261233333333337</v>
      </c>
      <c r="K156">
        <v>-81.829883333333328</v>
      </c>
      <c r="L156">
        <v>41.621000000000002</v>
      </c>
      <c r="M156">
        <v>-81.539483333333337</v>
      </c>
      <c r="N156" s="22">
        <f t="shared" si="57"/>
        <v>3.6706417846370742E-3</v>
      </c>
      <c r="O156" s="22">
        <f t="shared" si="58"/>
        <v>0.6993477876246913</v>
      </c>
      <c r="P156" s="22">
        <f t="shared" si="45"/>
        <v>3.6706417846370742E-3</v>
      </c>
      <c r="Q156" s="4">
        <v>21.5</v>
      </c>
      <c r="R156" s="4">
        <v>15.9</v>
      </c>
      <c r="S156" s="4">
        <v>11.9</v>
      </c>
      <c r="T156" s="1">
        <v>4</v>
      </c>
      <c r="U156" s="1">
        <v>0</v>
      </c>
      <c r="V156">
        <v>2818</v>
      </c>
      <c r="W156">
        <v>20</v>
      </c>
      <c r="X156">
        <v>1.06</v>
      </c>
      <c r="Y156">
        <v>327</v>
      </c>
      <c r="Z156" s="28">
        <f t="shared" si="47"/>
        <v>0.05</v>
      </c>
      <c r="AA156" s="28">
        <f t="shared" si="48"/>
        <v>0.1</v>
      </c>
      <c r="AB156" s="28">
        <f t="shared" si="49"/>
        <v>0</v>
      </c>
      <c r="AC156" s="28">
        <f t="shared" si="50"/>
        <v>15.7</v>
      </c>
      <c r="AD156" s="28">
        <f t="shared" si="51"/>
        <v>0.2</v>
      </c>
      <c r="AE156">
        <f t="shared" si="40"/>
        <v>3.0581039755351682E-3</v>
      </c>
      <c r="AF156">
        <f t="shared" si="41"/>
        <v>6.1162079510703364E-3</v>
      </c>
      <c r="AG156">
        <f t="shared" si="42"/>
        <v>0</v>
      </c>
      <c r="AH156">
        <f t="shared" si="43"/>
        <v>0.96024464831804279</v>
      </c>
      <c r="AI156">
        <f t="shared" si="44"/>
        <v>1.2232415902140673E-2</v>
      </c>
      <c r="AJ156">
        <v>1</v>
      </c>
      <c r="AK156">
        <v>2</v>
      </c>
      <c r="AL156">
        <v>0</v>
      </c>
      <c r="AM156">
        <v>314</v>
      </c>
      <c r="AN156">
        <v>4</v>
      </c>
      <c r="AO156" s="22">
        <f t="shared" si="52"/>
        <v>0.69314718055994529</v>
      </c>
      <c r="AP156" s="22">
        <f t="shared" si="53"/>
        <v>1.0986122886681098</v>
      </c>
      <c r="AQ156" s="22">
        <f t="shared" si="54"/>
        <v>0</v>
      </c>
      <c r="AR156" s="22">
        <f t="shared" si="55"/>
        <v>5.7525726388256331</v>
      </c>
      <c r="AS156" s="22">
        <f t="shared" si="56"/>
        <v>1.6094379124341003</v>
      </c>
    </row>
    <row r="157" spans="1:45" x14ac:dyDescent="0.25">
      <c r="A157" t="s">
        <v>10</v>
      </c>
      <c r="B157" s="2">
        <v>41109</v>
      </c>
      <c r="C157">
        <v>2194</v>
      </c>
      <c r="D157" s="1">
        <v>2012</v>
      </c>
      <c r="E157" s="1">
        <v>3009</v>
      </c>
      <c r="F157" s="1">
        <v>57600</v>
      </c>
      <c r="G157" s="44">
        <f t="shared" si="46"/>
        <v>0</v>
      </c>
      <c r="H157" s="6">
        <v>42.247166666666665</v>
      </c>
      <c r="I157" s="6">
        <v>-81.807500000000005</v>
      </c>
      <c r="J157">
        <v>42.261233333333337</v>
      </c>
      <c r="K157">
        <v>-81.829883333333328</v>
      </c>
      <c r="L157">
        <v>41.621000000000002</v>
      </c>
      <c r="M157">
        <v>-81.539483333333337</v>
      </c>
      <c r="N157" s="22">
        <f t="shared" si="57"/>
        <v>2.6436427939907328E-2</v>
      </c>
      <c r="O157" s="22">
        <f t="shared" si="58"/>
        <v>0.68111498886425292</v>
      </c>
      <c r="P157" s="22">
        <f t="shared" si="45"/>
        <v>2.6436427939907328E-2</v>
      </c>
      <c r="Q157" s="4">
        <v>25.8</v>
      </c>
      <c r="R157" s="4">
        <v>20.6</v>
      </c>
      <c r="S157" s="4">
        <v>17.5</v>
      </c>
      <c r="T157" s="1">
        <v>8</v>
      </c>
      <c r="U157" s="1">
        <v>0</v>
      </c>
      <c r="V157">
        <v>2908</v>
      </c>
      <c r="W157">
        <v>20</v>
      </c>
      <c r="X157">
        <v>0.87</v>
      </c>
      <c r="Y157">
        <v>88</v>
      </c>
      <c r="Z157" s="28">
        <f t="shared" si="47"/>
        <v>0</v>
      </c>
      <c r="AA157" s="28">
        <f t="shared" si="48"/>
        <v>0.65</v>
      </c>
      <c r="AB157" s="28">
        <f t="shared" si="49"/>
        <v>0.05</v>
      </c>
      <c r="AC157" s="28">
        <f t="shared" si="50"/>
        <v>0.6</v>
      </c>
      <c r="AD157" s="28">
        <f t="shared" si="51"/>
        <v>2.9</v>
      </c>
      <c r="AE157">
        <f t="shared" si="40"/>
        <v>0</v>
      </c>
      <c r="AF157">
        <f t="shared" si="41"/>
        <v>0.14772727272727273</v>
      </c>
      <c r="AG157">
        <f t="shared" si="42"/>
        <v>1.1363636363636364E-2</v>
      </c>
      <c r="AH157">
        <f t="shared" si="43"/>
        <v>0.13636363636363635</v>
      </c>
      <c r="AI157">
        <f t="shared" si="44"/>
        <v>0.65909090909090906</v>
      </c>
      <c r="AJ157">
        <v>0</v>
      </c>
      <c r="AK157">
        <v>13</v>
      </c>
      <c r="AL157">
        <v>1</v>
      </c>
      <c r="AM157">
        <v>12</v>
      </c>
      <c r="AN157">
        <v>58</v>
      </c>
      <c r="AO157" s="22">
        <f t="shared" si="52"/>
        <v>0</v>
      </c>
      <c r="AP157" s="22">
        <f t="shared" si="53"/>
        <v>2.6390573296152584</v>
      </c>
      <c r="AQ157" s="22">
        <f t="shared" si="54"/>
        <v>0.69314718055994529</v>
      </c>
      <c r="AR157" s="22">
        <f t="shared" si="55"/>
        <v>2.5649493574615367</v>
      </c>
      <c r="AS157" s="22">
        <f t="shared" si="56"/>
        <v>4.0775374439057197</v>
      </c>
    </row>
    <row r="158" spans="1:45" x14ac:dyDescent="0.25">
      <c r="A158" t="s">
        <v>8</v>
      </c>
      <c r="B158" s="2">
        <v>41468</v>
      </c>
      <c r="C158">
        <v>194</v>
      </c>
      <c r="D158">
        <v>2013</v>
      </c>
      <c r="E158">
        <v>725</v>
      </c>
      <c r="F158">
        <v>57975</v>
      </c>
      <c r="G158" s="44">
        <f t="shared" si="46"/>
        <v>1</v>
      </c>
      <c r="H158" s="6">
        <v>42.208833333333331</v>
      </c>
      <c r="I158" s="6">
        <v>-81.11</v>
      </c>
      <c r="J158">
        <v>42.612716666666664</v>
      </c>
      <c r="K158">
        <v>-81.313883333333337</v>
      </c>
      <c r="L158">
        <v>41.874783333333333</v>
      </c>
      <c r="M158">
        <v>-80.945083333333329</v>
      </c>
      <c r="N158" s="22">
        <f t="shared" si="57"/>
        <v>0.45242696709585828</v>
      </c>
      <c r="O158" s="22">
        <f t="shared" si="58"/>
        <v>0.37254115134363891</v>
      </c>
      <c r="P158" s="22">
        <f t="shared" si="45"/>
        <v>0.37254115134363891</v>
      </c>
      <c r="S158">
        <v>21.945600000000002</v>
      </c>
      <c r="T158" s="1">
        <v>13.106400000000001</v>
      </c>
      <c r="U158" s="1">
        <v>0</v>
      </c>
      <c r="V158">
        <v>2530</v>
      </c>
      <c r="W158">
        <v>20</v>
      </c>
      <c r="X158" s="4">
        <v>1.2581729486893019</v>
      </c>
      <c r="Y158">
        <v>40</v>
      </c>
      <c r="Z158" s="28">
        <f t="shared" si="47"/>
        <v>0</v>
      </c>
      <c r="AA158" s="28">
        <f t="shared" si="48"/>
        <v>0.9</v>
      </c>
      <c r="AB158" s="28">
        <f t="shared" si="49"/>
        <v>1</v>
      </c>
      <c r="AC158" s="28">
        <f t="shared" si="50"/>
        <v>0.05</v>
      </c>
      <c r="AD158" s="28">
        <f t="shared" si="51"/>
        <v>0</v>
      </c>
      <c r="AE158">
        <f t="shared" si="40"/>
        <v>0</v>
      </c>
      <c r="AF158">
        <f t="shared" si="41"/>
        <v>0.45</v>
      </c>
      <c r="AG158">
        <f t="shared" si="42"/>
        <v>0.5</v>
      </c>
      <c r="AH158">
        <f t="shared" si="43"/>
        <v>2.5000000000000001E-2</v>
      </c>
      <c r="AI158">
        <f t="shared" si="44"/>
        <v>0</v>
      </c>
      <c r="AJ158">
        <v>0</v>
      </c>
      <c r="AK158">
        <v>18</v>
      </c>
      <c r="AL158">
        <v>20</v>
      </c>
      <c r="AM158">
        <v>1</v>
      </c>
      <c r="AN158">
        <v>0</v>
      </c>
      <c r="AO158" s="22">
        <f t="shared" si="52"/>
        <v>0</v>
      </c>
      <c r="AP158" s="22">
        <f t="shared" si="53"/>
        <v>2.9444389791664403</v>
      </c>
      <c r="AQ158" s="22">
        <f t="shared" si="54"/>
        <v>3.044522437723423</v>
      </c>
      <c r="AR158" s="22">
        <f t="shared" si="55"/>
        <v>0.69314718055994529</v>
      </c>
      <c r="AS158" s="22">
        <f t="shared" si="56"/>
        <v>0</v>
      </c>
    </row>
    <row r="159" spans="1:45" x14ac:dyDescent="0.25">
      <c r="A159" t="s">
        <v>8</v>
      </c>
      <c r="B159" s="2">
        <v>41468</v>
      </c>
      <c r="C159">
        <v>194</v>
      </c>
      <c r="D159">
        <v>2013</v>
      </c>
      <c r="E159">
        <v>726</v>
      </c>
      <c r="F159">
        <v>57975</v>
      </c>
      <c r="G159" s="44">
        <f t="shared" si="46"/>
        <v>1</v>
      </c>
      <c r="H159" s="6">
        <v>42.12166666666667</v>
      </c>
      <c r="I159" s="6">
        <v>-81.066666666666663</v>
      </c>
      <c r="J159">
        <v>42.612716666666664</v>
      </c>
      <c r="K159">
        <v>-81.313883333333337</v>
      </c>
      <c r="L159">
        <v>41.874783333333333</v>
      </c>
      <c r="M159">
        <v>-80.945083333333329</v>
      </c>
      <c r="N159" s="22">
        <f t="shared" si="57"/>
        <v>0.54976920864829781</v>
      </c>
      <c r="O159" s="22">
        <f t="shared" si="58"/>
        <v>0.27519790555566337</v>
      </c>
      <c r="P159" s="22">
        <f t="shared" si="45"/>
        <v>0.27519790555566337</v>
      </c>
      <c r="S159">
        <v>21.640800000000002</v>
      </c>
      <c r="T159" s="1">
        <v>7.62</v>
      </c>
      <c r="U159" s="1">
        <v>0</v>
      </c>
      <c r="V159">
        <v>2654</v>
      </c>
      <c r="W159">
        <v>20</v>
      </c>
      <c r="X159" s="4">
        <v>0.92417836160598954</v>
      </c>
      <c r="Y159">
        <v>32</v>
      </c>
      <c r="Z159" s="28">
        <f t="shared" si="47"/>
        <v>0</v>
      </c>
      <c r="AA159" s="28">
        <f t="shared" si="48"/>
        <v>1.1000000000000001</v>
      </c>
      <c r="AB159" s="28">
        <f t="shared" si="49"/>
        <v>0.25</v>
      </c>
      <c r="AC159" s="28">
        <f t="shared" si="50"/>
        <v>0.05</v>
      </c>
      <c r="AD159" s="28">
        <f t="shared" si="51"/>
        <v>0</v>
      </c>
      <c r="AE159">
        <f t="shared" si="40"/>
        <v>0</v>
      </c>
      <c r="AF159">
        <f t="shared" si="41"/>
        <v>0.6875</v>
      </c>
      <c r="AG159">
        <f t="shared" si="42"/>
        <v>0.15625</v>
      </c>
      <c r="AH159">
        <f t="shared" si="43"/>
        <v>3.125E-2</v>
      </c>
      <c r="AI159">
        <f t="shared" si="44"/>
        <v>0</v>
      </c>
      <c r="AJ159">
        <v>0</v>
      </c>
      <c r="AK159">
        <v>22</v>
      </c>
      <c r="AL159">
        <v>5</v>
      </c>
      <c r="AM159">
        <v>1</v>
      </c>
      <c r="AN159">
        <v>0</v>
      </c>
      <c r="AO159" s="22">
        <f t="shared" si="52"/>
        <v>0</v>
      </c>
      <c r="AP159" s="22">
        <f t="shared" si="53"/>
        <v>3.1354942159291497</v>
      </c>
      <c r="AQ159" s="22">
        <f t="shared" si="54"/>
        <v>1.791759469228055</v>
      </c>
      <c r="AR159" s="22">
        <f t="shared" si="55"/>
        <v>0.69314718055994529</v>
      </c>
      <c r="AS159" s="22">
        <f t="shared" si="56"/>
        <v>0</v>
      </c>
    </row>
    <row r="160" spans="1:45" x14ac:dyDescent="0.25">
      <c r="A160" t="s">
        <v>8</v>
      </c>
      <c r="B160" s="2">
        <v>41468</v>
      </c>
      <c r="C160">
        <v>194</v>
      </c>
      <c r="D160">
        <v>2013</v>
      </c>
      <c r="E160">
        <v>727</v>
      </c>
      <c r="F160">
        <v>57975</v>
      </c>
      <c r="G160" s="44">
        <f t="shared" si="46"/>
        <v>1</v>
      </c>
      <c r="H160" s="6">
        <v>42.041499999999999</v>
      </c>
      <c r="I160" s="6">
        <v>-81.027000000000001</v>
      </c>
      <c r="J160">
        <v>42.612716666666664</v>
      </c>
      <c r="K160">
        <v>-81.313883333333337</v>
      </c>
      <c r="L160">
        <v>41.874783333333333</v>
      </c>
      <c r="M160">
        <v>-80.945083333333329</v>
      </c>
      <c r="N160" s="22">
        <f t="shared" si="57"/>
        <v>0.63921086287876971</v>
      </c>
      <c r="O160" s="22">
        <f t="shared" si="58"/>
        <v>0.18575464253208537</v>
      </c>
      <c r="P160" s="22">
        <f t="shared" si="45"/>
        <v>0.18575464253208537</v>
      </c>
      <c r="S160">
        <v>21.945600000000002</v>
      </c>
      <c r="T160" s="1">
        <v>3.6576000000000004</v>
      </c>
      <c r="U160" s="1">
        <v>0</v>
      </c>
      <c r="V160">
        <v>2803</v>
      </c>
      <c r="W160">
        <v>20</v>
      </c>
      <c r="X160" s="4">
        <v>0.98100459932823991</v>
      </c>
      <c r="Y160">
        <v>32</v>
      </c>
      <c r="Z160" s="28">
        <f t="shared" si="47"/>
        <v>0</v>
      </c>
      <c r="AA160" s="28">
        <f t="shared" si="48"/>
        <v>1.1499999999999999</v>
      </c>
      <c r="AB160" s="28">
        <f t="shared" si="49"/>
        <v>0.1</v>
      </c>
      <c r="AC160" s="28">
        <f t="shared" si="50"/>
        <v>0.15</v>
      </c>
      <c r="AD160" s="28">
        <f t="shared" si="51"/>
        <v>0</v>
      </c>
      <c r="AE160">
        <f t="shared" si="40"/>
        <v>0</v>
      </c>
      <c r="AF160">
        <f t="shared" si="41"/>
        <v>0.71875</v>
      </c>
      <c r="AG160">
        <f t="shared" si="42"/>
        <v>6.25E-2</v>
      </c>
      <c r="AH160">
        <f t="shared" si="43"/>
        <v>9.375E-2</v>
      </c>
      <c r="AI160">
        <f t="shared" si="44"/>
        <v>0</v>
      </c>
      <c r="AJ160">
        <v>0</v>
      </c>
      <c r="AK160">
        <v>23</v>
      </c>
      <c r="AL160">
        <v>2</v>
      </c>
      <c r="AM160">
        <v>3</v>
      </c>
      <c r="AN160">
        <v>0</v>
      </c>
      <c r="AO160" s="22">
        <f t="shared" si="52"/>
        <v>0</v>
      </c>
      <c r="AP160" s="22">
        <f t="shared" si="53"/>
        <v>3.1780538303479458</v>
      </c>
      <c r="AQ160" s="22">
        <f t="shared" si="54"/>
        <v>1.0986122886681098</v>
      </c>
      <c r="AR160" s="22">
        <f t="shared" si="55"/>
        <v>1.3862943611198906</v>
      </c>
      <c r="AS160" s="22">
        <f t="shared" si="56"/>
        <v>0</v>
      </c>
    </row>
    <row r="161" spans="1:45" x14ac:dyDescent="0.25">
      <c r="A161" t="s">
        <v>8</v>
      </c>
      <c r="B161" s="2">
        <v>41469</v>
      </c>
      <c r="C161">
        <v>195</v>
      </c>
      <c r="D161">
        <v>2013</v>
      </c>
      <c r="E161">
        <v>728</v>
      </c>
      <c r="F161">
        <v>57725</v>
      </c>
      <c r="G161" s="44">
        <f t="shared" si="46"/>
        <v>1</v>
      </c>
      <c r="H161" s="6">
        <v>41.844499999999996</v>
      </c>
      <c r="I161" s="6">
        <v>-81.399666666666661</v>
      </c>
      <c r="J161">
        <v>42.424050000000001</v>
      </c>
      <c r="K161">
        <v>-81.688833333333335</v>
      </c>
      <c r="L161">
        <v>41.758499999999998</v>
      </c>
      <c r="M161">
        <v>-81.356416666666661</v>
      </c>
      <c r="N161" s="22">
        <f t="shared" si="57"/>
        <v>0.64768477179189621</v>
      </c>
      <c r="O161" s="22">
        <f t="shared" si="58"/>
        <v>9.6262986136935236E-2</v>
      </c>
      <c r="P161" s="22">
        <f t="shared" si="45"/>
        <v>9.6262986136935236E-2</v>
      </c>
      <c r="S161">
        <v>6.4008000000000003</v>
      </c>
      <c r="T161" s="1">
        <v>12.4968</v>
      </c>
      <c r="U161" s="1">
        <v>0</v>
      </c>
      <c r="V161">
        <v>2225</v>
      </c>
      <c r="W161">
        <v>20</v>
      </c>
      <c r="X161" s="4">
        <v>0.90077974914710601</v>
      </c>
      <c r="Y161">
        <v>75</v>
      </c>
      <c r="Z161" s="28">
        <f t="shared" si="47"/>
        <v>0</v>
      </c>
      <c r="AA161" s="28">
        <f t="shared" si="48"/>
        <v>3.3</v>
      </c>
      <c r="AB161" s="28">
        <f t="shared" si="49"/>
        <v>0</v>
      </c>
      <c r="AC161" s="28">
        <f t="shared" si="50"/>
        <v>0.4</v>
      </c>
      <c r="AD161" s="28">
        <f t="shared" si="51"/>
        <v>0</v>
      </c>
      <c r="AE161">
        <f t="shared" si="40"/>
        <v>0</v>
      </c>
      <c r="AF161">
        <f t="shared" si="41"/>
        <v>0.88</v>
      </c>
      <c r="AG161">
        <f t="shared" si="42"/>
        <v>0</v>
      </c>
      <c r="AH161">
        <f t="shared" si="43"/>
        <v>0.10666666666666667</v>
      </c>
      <c r="AI161">
        <f t="shared" si="44"/>
        <v>0</v>
      </c>
      <c r="AJ161">
        <v>0</v>
      </c>
      <c r="AK161">
        <v>66</v>
      </c>
      <c r="AL161">
        <v>0</v>
      </c>
      <c r="AM161">
        <v>8</v>
      </c>
      <c r="AN161">
        <v>0</v>
      </c>
      <c r="AO161" s="22">
        <f t="shared" si="52"/>
        <v>0</v>
      </c>
      <c r="AP161" s="22">
        <f t="shared" si="53"/>
        <v>4.2046926193909657</v>
      </c>
      <c r="AQ161" s="22">
        <f t="shared" si="54"/>
        <v>0</v>
      </c>
      <c r="AR161" s="22">
        <f t="shared" si="55"/>
        <v>2.1972245773362196</v>
      </c>
      <c r="AS161" s="22">
        <f t="shared" si="56"/>
        <v>0</v>
      </c>
    </row>
    <row r="162" spans="1:45" x14ac:dyDescent="0.25">
      <c r="A162" t="s">
        <v>8</v>
      </c>
      <c r="B162" s="2">
        <v>41469</v>
      </c>
      <c r="C162">
        <v>195</v>
      </c>
      <c r="D162">
        <v>2013</v>
      </c>
      <c r="E162">
        <v>729</v>
      </c>
      <c r="F162">
        <v>57725</v>
      </c>
      <c r="G162" s="44">
        <f t="shared" si="46"/>
        <v>1</v>
      </c>
      <c r="H162" s="6">
        <v>41.905666666666669</v>
      </c>
      <c r="I162" s="6">
        <v>-81.429333333333332</v>
      </c>
      <c r="J162">
        <v>42.424050000000001</v>
      </c>
      <c r="K162">
        <v>-81.688833333333335</v>
      </c>
      <c r="L162">
        <v>41.758499999999998</v>
      </c>
      <c r="M162">
        <v>-81.356416666666661</v>
      </c>
      <c r="N162" s="22">
        <f t="shared" si="57"/>
        <v>0.57970814232489298</v>
      </c>
      <c r="O162" s="22">
        <f t="shared" si="58"/>
        <v>0.16424027537591815</v>
      </c>
      <c r="P162" s="22">
        <f t="shared" si="45"/>
        <v>0.16424027537591815</v>
      </c>
      <c r="S162">
        <v>6.7056000000000004</v>
      </c>
      <c r="T162" s="1">
        <v>13.411200000000001</v>
      </c>
      <c r="U162" s="1">
        <v>0</v>
      </c>
      <c r="V162">
        <v>2321</v>
      </c>
      <c r="W162">
        <v>20</v>
      </c>
      <c r="X162" s="4">
        <v>0.9006854785734123</v>
      </c>
      <c r="Y162">
        <v>709</v>
      </c>
      <c r="Z162" s="28">
        <f t="shared" si="47"/>
        <v>0</v>
      </c>
      <c r="AA162" s="28">
        <f t="shared" si="48"/>
        <v>1.8</v>
      </c>
      <c r="AB162" s="28">
        <f t="shared" si="49"/>
        <v>15.75</v>
      </c>
      <c r="AC162" s="28">
        <f t="shared" si="50"/>
        <v>0.2</v>
      </c>
      <c r="AD162" s="28">
        <f t="shared" si="51"/>
        <v>0</v>
      </c>
      <c r="AE162">
        <f t="shared" si="40"/>
        <v>0</v>
      </c>
      <c r="AF162">
        <f t="shared" si="41"/>
        <v>5.0775740479548657E-2</v>
      </c>
      <c r="AG162">
        <f t="shared" si="42"/>
        <v>0.44428772919605075</v>
      </c>
      <c r="AH162">
        <f t="shared" si="43"/>
        <v>5.6417489421720732E-3</v>
      </c>
      <c r="AI162">
        <f t="shared" si="44"/>
        <v>0</v>
      </c>
      <c r="AJ162">
        <v>0</v>
      </c>
      <c r="AK162">
        <v>36</v>
      </c>
      <c r="AL162">
        <v>315</v>
      </c>
      <c r="AM162">
        <v>4</v>
      </c>
      <c r="AN162">
        <v>0</v>
      </c>
      <c r="AO162" s="22">
        <f t="shared" si="52"/>
        <v>0</v>
      </c>
      <c r="AP162" s="22">
        <f t="shared" si="53"/>
        <v>3.6109179126442243</v>
      </c>
      <c r="AQ162" s="22">
        <f t="shared" si="54"/>
        <v>5.7557422135869123</v>
      </c>
      <c r="AR162" s="22">
        <f t="shared" si="55"/>
        <v>1.6094379124341003</v>
      </c>
      <c r="AS162" s="22">
        <f t="shared" si="56"/>
        <v>0</v>
      </c>
    </row>
    <row r="163" spans="1:45" x14ac:dyDescent="0.25">
      <c r="A163" t="s">
        <v>8</v>
      </c>
      <c r="B163" s="2">
        <v>41469</v>
      </c>
      <c r="C163">
        <v>195</v>
      </c>
      <c r="D163">
        <v>2013</v>
      </c>
      <c r="E163">
        <v>730</v>
      </c>
      <c r="F163">
        <v>57725</v>
      </c>
      <c r="G163" s="44">
        <f t="shared" si="46"/>
        <v>1</v>
      </c>
      <c r="H163" s="6">
        <v>41.982833333333332</v>
      </c>
      <c r="I163" s="6">
        <v>-81.434666666666672</v>
      </c>
      <c r="J163">
        <v>42.424050000000001</v>
      </c>
      <c r="K163">
        <v>-81.688833333333335</v>
      </c>
      <c r="L163">
        <v>41.758499999999998</v>
      </c>
      <c r="M163">
        <v>-81.356416666666661</v>
      </c>
      <c r="N163" s="22">
        <f t="shared" si="57"/>
        <v>0.50918841442916718</v>
      </c>
      <c r="O163" s="22">
        <f t="shared" si="58"/>
        <v>0.23758894533299835</v>
      </c>
      <c r="P163" s="22">
        <f t="shared" si="45"/>
        <v>0.23758894533299835</v>
      </c>
      <c r="S163">
        <v>22.86</v>
      </c>
      <c r="T163" s="1">
        <v>18</v>
      </c>
      <c r="U163" s="1">
        <v>1</v>
      </c>
      <c r="V163">
        <v>2428</v>
      </c>
      <c r="W163">
        <v>20</v>
      </c>
      <c r="X163" s="4">
        <v>0.87923269002281312</v>
      </c>
      <c r="Y163">
        <v>1287</v>
      </c>
      <c r="Z163" s="28">
        <f t="shared" si="47"/>
        <v>0</v>
      </c>
      <c r="AA163" s="28">
        <f t="shared" si="48"/>
        <v>0</v>
      </c>
      <c r="AB163" s="28">
        <f t="shared" si="49"/>
        <v>57.45</v>
      </c>
      <c r="AC163" s="28">
        <f t="shared" si="50"/>
        <v>0.05</v>
      </c>
      <c r="AD163" s="28">
        <f t="shared" si="51"/>
        <v>0</v>
      </c>
      <c r="AE163">
        <f t="shared" si="40"/>
        <v>0</v>
      </c>
      <c r="AF163">
        <f t="shared" si="41"/>
        <v>0</v>
      </c>
      <c r="AG163">
        <f t="shared" si="42"/>
        <v>0.89277389277389274</v>
      </c>
      <c r="AH163">
        <f t="shared" si="43"/>
        <v>7.77000777000777E-4</v>
      </c>
      <c r="AI163">
        <f t="shared" si="44"/>
        <v>0</v>
      </c>
      <c r="AJ163">
        <v>0</v>
      </c>
      <c r="AK163">
        <v>0</v>
      </c>
      <c r="AL163">
        <v>1149</v>
      </c>
      <c r="AM163">
        <v>1</v>
      </c>
      <c r="AN163">
        <v>0</v>
      </c>
      <c r="AO163" s="22">
        <f t="shared" si="52"/>
        <v>0</v>
      </c>
      <c r="AP163" s="22">
        <f t="shared" si="53"/>
        <v>0</v>
      </c>
      <c r="AQ163" s="22">
        <f t="shared" si="54"/>
        <v>7.0475172213572961</v>
      </c>
      <c r="AR163" s="22">
        <f t="shared" si="55"/>
        <v>0.69314718055994529</v>
      </c>
      <c r="AS163" s="22">
        <f t="shared" si="56"/>
        <v>0</v>
      </c>
    </row>
    <row r="164" spans="1:45" x14ac:dyDescent="0.25">
      <c r="A164" t="s">
        <v>8</v>
      </c>
      <c r="B164" s="2">
        <v>41470</v>
      </c>
      <c r="C164">
        <v>196</v>
      </c>
      <c r="D164">
        <v>2013</v>
      </c>
      <c r="E164">
        <v>731</v>
      </c>
      <c r="F164">
        <v>57475</v>
      </c>
      <c r="G164" s="44">
        <f t="shared" si="46"/>
        <v>0</v>
      </c>
      <c r="H164" s="6">
        <v>41.686833333333333</v>
      </c>
      <c r="I164" s="6">
        <v>-81.821333333333328</v>
      </c>
      <c r="J164">
        <v>42.228400000000001</v>
      </c>
      <c r="K164">
        <v>-82.098483333333334</v>
      </c>
      <c r="L164">
        <v>41.508116666666666</v>
      </c>
      <c r="M164">
        <v>-81.739649999999997</v>
      </c>
      <c r="N164" s="22">
        <f t="shared" si="57"/>
        <v>0.60836385243080415</v>
      </c>
      <c r="O164" s="22">
        <f t="shared" si="58"/>
        <v>0.1964988902993815</v>
      </c>
      <c r="P164" s="22">
        <f t="shared" si="45"/>
        <v>0.1964988902993815</v>
      </c>
      <c r="S164">
        <v>20.116800000000001</v>
      </c>
      <c r="T164" s="1">
        <v>7.62</v>
      </c>
      <c r="U164" s="1">
        <v>0</v>
      </c>
      <c r="V164">
        <v>2326</v>
      </c>
      <c r="W164">
        <v>20</v>
      </c>
      <c r="X164" s="4">
        <v>0.99541176258234432</v>
      </c>
      <c r="Y164">
        <v>23</v>
      </c>
      <c r="Z164" s="28">
        <f t="shared" si="47"/>
        <v>0</v>
      </c>
      <c r="AA164" s="28">
        <f t="shared" si="48"/>
        <v>0.15</v>
      </c>
      <c r="AB164" s="28">
        <f t="shared" si="49"/>
        <v>0.85</v>
      </c>
      <c r="AC164" s="28">
        <f t="shared" si="50"/>
        <v>0</v>
      </c>
      <c r="AD164" s="28">
        <f t="shared" si="51"/>
        <v>0</v>
      </c>
      <c r="AE164">
        <f t="shared" si="40"/>
        <v>0</v>
      </c>
      <c r="AF164">
        <f t="shared" si="41"/>
        <v>0.13043478260869565</v>
      </c>
      <c r="AG164">
        <f t="shared" si="42"/>
        <v>0.73913043478260865</v>
      </c>
      <c r="AH164">
        <f t="shared" si="43"/>
        <v>0</v>
      </c>
      <c r="AI164">
        <f t="shared" si="44"/>
        <v>0</v>
      </c>
      <c r="AJ164">
        <v>0</v>
      </c>
      <c r="AK164">
        <v>3</v>
      </c>
      <c r="AL164">
        <v>17</v>
      </c>
      <c r="AM164">
        <v>0</v>
      </c>
      <c r="AN164">
        <v>0</v>
      </c>
      <c r="AO164" s="22">
        <f t="shared" si="52"/>
        <v>0</v>
      </c>
      <c r="AP164" s="22">
        <f t="shared" si="53"/>
        <v>1.3862943611198906</v>
      </c>
      <c r="AQ164" s="22">
        <f t="shared" si="54"/>
        <v>2.8903717578961645</v>
      </c>
      <c r="AR164" s="22">
        <f t="shared" si="55"/>
        <v>0</v>
      </c>
      <c r="AS164" s="22">
        <f t="shared" si="56"/>
        <v>0</v>
      </c>
    </row>
    <row r="165" spans="1:45" x14ac:dyDescent="0.25">
      <c r="A165" t="s">
        <v>8</v>
      </c>
      <c r="B165" s="2">
        <v>41470</v>
      </c>
      <c r="C165">
        <v>196</v>
      </c>
      <c r="D165">
        <v>2013</v>
      </c>
      <c r="E165">
        <v>732</v>
      </c>
      <c r="F165">
        <v>57475</v>
      </c>
      <c r="G165" s="44">
        <f t="shared" si="46"/>
        <v>0</v>
      </c>
      <c r="H165" s="6">
        <v>41.7425</v>
      </c>
      <c r="I165" s="6">
        <v>-81.850166666666667</v>
      </c>
      <c r="J165">
        <v>42.228400000000001</v>
      </c>
      <c r="K165">
        <v>-82.098483333333334</v>
      </c>
      <c r="L165">
        <v>41.508116666666666</v>
      </c>
      <c r="M165">
        <v>-81.739649999999997</v>
      </c>
      <c r="N165" s="22">
        <f t="shared" si="57"/>
        <v>0.54567387416335578</v>
      </c>
      <c r="O165" s="22">
        <f t="shared" si="58"/>
        <v>0.25913216812189915</v>
      </c>
      <c r="P165" s="22">
        <f t="shared" si="45"/>
        <v>0.25913216812189915</v>
      </c>
      <c r="S165">
        <v>21.640800000000002</v>
      </c>
      <c r="T165" s="1">
        <v>11.8872</v>
      </c>
      <c r="U165" s="1">
        <v>0</v>
      </c>
      <c r="V165">
        <v>2419</v>
      </c>
      <c r="W165">
        <v>20</v>
      </c>
      <c r="X165" s="4">
        <v>0.94117303598318569</v>
      </c>
      <c r="Y165">
        <v>1584</v>
      </c>
      <c r="Z165" s="28">
        <f t="shared" si="47"/>
        <v>0</v>
      </c>
      <c r="AA165" s="28">
        <f t="shared" si="48"/>
        <v>5.9</v>
      </c>
      <c r="AB165" s="28">
        <f t="shared" si="49"/>
        <v>72.8</v>
      </c>
      <c r="AC165" s="28">
        <f t="shared" si="50"/>
        <v>0</v>
      </c>
      <c r="AD165" s="28">
        <f t="shared" si="51"/>
        <v>0</v>
      </c>
      <c r="AE165">
        <f t="shared" si="40"/>
        <v>0</v>
      </c>
      <c r="AF165">
        <f t="shared" si="41"/>
        <v>7.4494949494949489E-2</v>
      </c>
      <c r="AG165">
        <f t="shared" si="42"/>
        <v>0.91919191919191923</v>
      </c>
      <c r="AH165">
        <f t="shared" si="43"/>
        <v>0</v>
      </c>
      <c r="AI165">
        <f t="shared" si="44"/>
        <v>0</v>
      </c>
      <c r="AJ165">
        <v>0</v>
      </c>
      <c r="AK165">
        <v>118</v>
      </c>
      <c r="AL165">
        <v>1456</v>
      </c>
      <c r="AM165">
        <v>0</v>
      </c>
      <c r="AN165">
        <v>0</v>
      </c>
      <c r="AO165" s="22">
        <f t="shared" si="52"/>
        <v>0</v>
      </c>
      <c r="AP165" s="22">
        <f t="shared" si="53"/>
        <v>4.7791234931115296</v>
      </c>
      <c r="AQ165" s="22">
        <f t="shared" si="54"/>
        <v>7.2841348061952047</v>
      </c>
      <c r="AR165" s="22">
        <f t="shared" si="55"/>
        <v>0</v>
      </c>
      <c r="AS165" s="22">
        <f t="shared" si="56"/>
        <v>0</v>
      </c>
    </row>
    <row r="166" spans="1:45" x14ac:dyDescent="0.25">
      <c r="A166" t="s">
        <v>10</v>
      </c>
      <c r="B166" s="2">
        <v>41463</v>
      </c>
      <c r="C166">
        <v>189</v>
      </c>
      <c r="D166">
        <v>2013</v>
      </c>
      <c r="E166">
        <v>1001</v>
      </c>
      <c r="F166">
        <v>58100</v>
      </c>
      <c r="G166" s="44">
        <f t="shared" si="46"/>
        <v>1</v>
      </c>
      <c r="H166" s="13">
        <v>42.388500000000015</v>
      </c>
      <c r="I166" s="6">
        <v>-80.91449999999999</v>
      </c>
      <c r="J166">
        <v>42.632766666666669</v>
      </c>
      <c r="K166">
        <v>-81.01636666666667</v>
      </c>
      <c r="L166">
        <v>41.96221666666667</v>
      </c>
      <c r="M166">
        <v>-80.744650000000007</v>
      </c>
      <c r="N166" s="22">
        <f t="shared" si="57"/>
        <v>0.26465642297556052</v>
      </c>
      <c r="O166" s="22">
        <f t="shared" si="58"/>
        <v>0.45887525840666271</v>
      </c>
      <c r="P166" s="22">
        <f t="shared" si="45"/>
        <v>0.26465642297556052</v>
      </c>
      <c r="Q166">
        <v>21.3</v>
      </c>
      <c r="R166">
        <v>13.7</v>
      </c>
      <c r="S166">
        <v>20.8</v>
      </c>
      <c r="T166" s="21">
        <v>19</v>
      </c>
      <c r="U166" s="47">
        <v>1</v>
      </c>
      <c r="V166">
        <v>2156</v>
      </c>
      <c r="W166">
        <v>20</v>
      </c>
      <c r="X166">
        <v>1</v>
      </c>
      <c r="Y166">
        <v>351</v>
      </c>
      <c r="Z166" s="28">
        <f t="shared" si="47"/>
        <v>0</v>
      </c>
      <c r="AA166" s="28">
        <f t="shared" si="48"/>
        <v>0.4</v>
      </c>
      <c r="AB166" s="28">
        <f t="shared" si="49"/>
        <v>16.75</v>
      </c>
      <c r="AC166" s="28">
        <f t="shared" si="50"/>
        <v>0</v>
      </c>
      <c r="AD166" s="28">
        <f t="shared" si="51"/>
        <v>0</v>
      </c>
      <c r="AE166">
        <f t="shared" si="40"/>
        <v>0</v>
      </c>
      <c r="AF166">
        <f t="shared" si="41"/>
        <v>2.2792022792022793E-2</v>
      </c>
      <c r="AG166">
        <f t="shared" si="42"/>
        <v>0.95441595441595439</v>
      </c>
      <c r="AH166">
        <f t="shared" si="43"/>
        <v>0</v>
      </c>
      <c r="AI166">
        <f t="shared" si="44"/>
        <v>0</v>
      </c>
      <c r="AJ166">
        <v>0</v>
      </c>
      <c r="AK166">
        <v>8</v>
      </c>
      <c r="AL166">
        <v>335</v>
      </c>
      <c r="AM166">
        <v>0</v>
      </c>
      <c r="AN166">
        <v>0</v>
      </c>
      <c r="AO166" s="22">
        <f t="shared" si="52"/>
        <v>0</v>
      </c>
      <c r="AP166" s="22">
        <f t="shared" si="53"/>
        <v>2.1972245773362196</v>
      </c>
      <c r="AQ166" s="22">
        <f t="shared" si="54"/>
        <v>5.8171111599632042</v>
      </c>
      <c r="AR166" s="22">
        <f t="shared" si="55"/>
        <v>0</v>
      </c>
      <c r="AS166" s="22">
        <f t="shared" si="56"/>
        <v>0</v>
      </c>
    </row>
    <row r="167" spans="1:45" x14ac:dyDescent="0.25">
      <c r="A167" t="s">
        <v>10</v>
      </c>
      <c r="B167" s="2">
        <v>41463</v>
      </c>
      <c r="C167">
        <v>189</v>
      </c>
      <c r="D167">
        <v>2013</v>
      </c>
      <c r="E167">
        <v>1002</v>
      </c>
      <c r="F167">
        <v>58100</v>
      </c>
      <c r="G167" s="44">
        <f t="shared" si="46"/>
        <v>1</v>
      </c>
      <c r="H167" s="6">
        <v>42.396666666666668</v>
      </c>
      <c r="I167" s="6">
        <v>-80.93116666666667</v>
      </c>
      <c r="J167">
        <v>42.632766666666669</v>
      </c>
      <c r="K167">
        <v>-81.01636666666667</v>
      </c>
      <c r="L167">
        <v>41.96221666666667</v>
      </c>
      <c r="M167">
        <v>-80.744650000000007</v>
      </c>
      <c r="N167" s="22">
        <f t="shared" si="57"/>
        <v>0.25100249002749009</v>
      </c>
      <c r="O167" s="22">
        <f t="shared" si="58"/>
        <v>0.47279516647745173</v>
      </c>
      <c r="P167" s="22">
        <f t="shared" si="45"/>
        <v>0.25100249002749009</v>
      </c>
      <c r="Q167">
        <v>21.3</v>
      </c>
      <c r="R167">
        <v>13.7</v>
      </c>
      <c r="S167">
        <v>20.6</v>
      </c>
      <c r="T167" s="1">
        <v>19</v>
      </c>
      <c r="U167" s="47">
        <v>1</v>
      </c>
      <c r="V167">
        <v>2252</v>
      </c>
      <c r="W167">
        <v>20</v>
      </c>
      <c r="X167">
        <v>1.02</v>
      </c>
      <c r="Y167">
        <v>1013</v>
      </c>
      <c r="Z167" s="28">
        <f t="shared" si="47"/>
        <v>0</v>
      </c>
      <c r="AA167" s="28">
        <f t="shared" si="48"/>
        <v>0.15</v>
      </c>
      <c r="AB167" s="28">
        <f t="shared" si="49"/>
        <v>50.15</v>
      </c>
      <c r="AC167" s="28">
        <f t="shared" si="50"/>
        <v>0</v>
      </c>
      <c r="AD167" s="28">
        <f t="shared" si="51"/>
        <v>0</v>
      </c>
      <c r="AE167">
        <f t="shared" si="40"/>
        <v>0</v>
      </c>
      <c r="AF167">
        <f t="shared" si="41"/>
        <v>2.9615004935834156E-3</v>
      </c>
      <c r="AG167">
        <f t="shared" si="42"/>
        <v>0.99012833168805525</v>
      </c>
      <c r="AH167">
        <f t="shared" si="43"/>
        <v>0</v>
      </c>
      <c r="AI167">
        <f t="shared" si="44"/>
        <v>0</v>
      </c>
      <c r="AJ167">
        <v>0</v>
      </c>
      <c r="AK167">
        <v>3</v>
      </c>
      <c r="AL167">
        <v>1003</v>
      </c>
      <c r="AM167">
        <v>0</v>
      </c>
      <c r="AN167">
        <v>0</v>
      </c>
      <c r="AO167" s="22">
        <f t="shared" si="52"/>
        <v>0</v>
      </c>
      <c r="AP167" s="22">
        <f t="shared" si="53"/>
        <v>1.3862943611198906</v>
      </c>
      <c r="AQ167" s="22">
        <f t="shared" si="54"/>
        <v>6.9117473002516743</v>
      </c>
      <c r="AR167" s="22">
        <f t="shared" si="55"/>
        <v>0</v>
      </c>
      <c r="AS167" s="22">
        <f t="shared" si="56"/>
        <v>0</v>
      </c>
    </row>
    <row r="168" spans="1:45" x14ac:dyDescent="0.25">
      <c r="A168" t="s">
        <v>10</v>
      </c>
      <c r="B168" s="2">
        <v>41463</v>
      </c>
      <c r="C168">
        <v>189</v>
      </c>
      <c r="D168">
        <v>2013</v>
      </c>
      <c r="E168">
        <v>1003</v>
      </c>
      <c r="F168">
        <v>58100</v>
      </c>
      <c r="G168" s="44">
        <f t="shared" si="46"/>
        <v>1</v>
      </c>
      <c r="H168" s="6">
        <v>42.395166666666661</v>
      </c>
      <c r="I168" s="6">
        <v>-80.934666666666672</v>
      </c>
      <c r="J168">
        <v>42.632766666666669</v>
      </c>
      <c r="K168">
        <v>-81.01636666666667</v>
      </c>
      <c r="L168">
        <v>41.96221666666667</v>
      </c>
      <c r="M168">
        <v>-80.744650000000007</v>
      </c>
      <c r="N168" s="22">
        <f t="shared" si="57"/>
        <v>0.25125415419451924</v>
      </c>
      <c r="O168" s="22">
        <f t="shared" si="58"/>
        <v>0.47281289757271083</v>
      </c>
      <c r="P168" s="22">
        <f t="shared" si="45"/>
        <v>0.25125415419451924</v>
      </c>
      <c r="Q168">
        <v>21.3</v>
      </c>
      <c r="R168">
        <v>19.899999999999999</v>
      </c>
      <c r="S168">
        <v>20.5</v>
      </c>
      <c r="T168" s="1">
        <v>15</v>
      </c>
      <c r="U168" s="1">
        <v>0</v>
      </c>
      <c r="V168">
        <v>2341</v>
      </c>
      <c r="W168">
        <v>20</v>
      </c>
      <c r="X168">
        <v>0.98</v>
      </c>
      <c r="Y168">
        <v>187</v>
      </c>
      <c r="Z168" s="28">
        <f t="shared" si="47"/>
        <v>0</v>
      </c>
      <c r="AA168" s="28">
        <f t="shared" si="48"/>
        <v>8.85</v>
      </c>
      <c r="AB168" s="28">
        <f t="shared" si="49"/>
        <v>0.25</v>
      </c>
      <c r="AC168" s="28">
        <f t="shared" si="50"/>
        <v>0</v>
      </c>
      <c r="AD168" s="28">
        <f t="shared" si="51"/>
        <v>0.15</v>
      </c>
      <c r="AE168">
        <f t="shared" si="40"/>
        <v>0</v>
      </c>
      <c r="AF168">
        <f t="shared" si="41"/>
        <v>0.946524064171123</v>
      </c>
      <c r="AG168">
        <f t="shared" si="42"/>
        <v>2.6737967914438502E-2</v>
      </c>
      <c r="AH168">
        <f t="shared" si="43"/>
        <v>0</v>
      </c>
      <c r="AI168">
        <f t="shared" si="44"/>
        <v>1.6042780748663103E-2</v>
      </c>
      <c r="AJ168">
        <v>0</v>
      </c>
      <c r="AK168">
        <v>177</v>
      </c>
      <c r="AL168">
        <v>5</v>
      </c>
      <c r="AM168">
        <v>0</v>
      </c>
      <c r="AN168">
        <v>3</v>
      </c>
      <c r="AO168" s="22">
        <f t="shared" si="52"/>
        <v>0</v>
      </c>
      <c r="AP168" s="22">
        <f t="shared" si="53"/>
        <v>5.181783550292085</v>
      </c>
      <c r="AQ168" s="22">
        <f t="shared" si="54"/>
        <v>1.791759469228055</v>
      </c>
      <c r="AR168" s="22">
        <f t="shared" si="55"/>
        <v>0</v>
      </c>
      <c r="AS168" s="22">
        <f t="shared" si="56"/>
        <v>1.3862943611198906</v>
      </c>
    </row>
    <row r="169" spans="1:45" x14ac:dyDescent="0.25">
      <c r="A169" t="s">
        <v>10</v>
      </c>
      <c r="B169" s="2">
        <v>41464</v>
      </c>
      <c r="C169">
        <v>190</v>
      </c>
      <c r="D169">
        <v>2013</v>
      </c>
      <c r="E169">
        <v>1004</v>
      </c>
      <c r="F169">
        <v>58100</v>
      </c>
      <c r="G169" s="44">
        <f t="shared" si="46"/>
        <v>1</v>
      </c>
      <c r="H169" s="6">
        <v>42.394500000000001</v>
      </c>
      <c r="I169" s="6">
        <v>-80.93683333333334</v>
      </c>
      <c r="J169">
        <v>42.632766666666669</v>
      </c>
      <c r="K169">
        <v>-81.01636666666667</v>
      </c>
      <c r="L169">
        <v>41.96221666666667</v>
      </c>
      <c r="M169">
        <v>-80.744650000000007</v>
      </c>
      <c r="N169" s="22">
        <f t="shared" si="57"/>
        <v>0.25119027758963064</v>
      </c>
      <c r="O169" s="22">
        <f t="shared" si="58"/>
        <v>0.47307854938570854</v>
      </c>
      <c r="P169" s="22">
        <f t="shared" si="45"/>
        <v>0.25119027758963064</v>
      </c>
      <c r="Q169">
        <v>21.3</v>
      </c>
      <c r="R169">
        <v>20.6</v>
      </c>
      <c r="S169">
        <v>20.6</v>
      </c>
      <c r="T169" s="1">
        <v>12</v>
      </c>
      <c r="U169" s="1">
        <v>0</v>
      </c>
      <c r="V169">
        <v>2425</v>
      </c>
      <c r="W169">
        <v>20</v>
      </c>
      <c r="X169">
        <v>0.99</v>
      </c>
      <c r="Y169">
        <v>200</v>
      </c>
      <c r="Z169" s="28">
        <f t="shared" si="47"/>
        <v>0</v>
      </c>
      <c r="AA169" s="28">
        <f t="shared" si="48"/>
        <v>9.3000000000000007</v>
      </c>
      <c r="AB169" s="28">
        <f t="shared" si="49"/>
        <v>0</v>
      </c>
      <c r="AC169" s="28">
        <f t="shared" si="50"/>
        <v>0.05</v>
      </c>
      <c r="AD169" s="28">
        <f t="shared" si="51"/>
        <v>0.3</v>
      </c>
      <c r="AE169">
        <f t="shared" si="40"/>
        <v>0</v>
      </c>
      <c r="AF169">
        <f t="shared" si="41"/>
        <v>0.93</v>
      </c>
      <c r="AG169">
        <f t="shared" si="42"/>
        <v>0</v>
      </c>
      <c r="AH169">
        <f t="shared" si="43"/>
        <v>5.0000000000000001E-3</v>
      </c>
      <c r="AI169">
        <f t="shared" si="44"/>
        <v>0.03</v>
      </c>
      <c r="AJ169">
        <v>0</v>
      </c>
      <c r="AK169">
        <v>186</v>
      </c>
      <c r="AL169">
        <v>0</v>
      </c>
      <c r="AM169">
        <v>1</v>
      </c>
      <c r="AN169">
        <v>6</v>
      </c>
      <c r="AO169" s="22">
        <f t="shared" si="52"/>
        <v>0</v>
      </c>
      <c r="AP169" s="22">
        <f t="shared" si="53"/>
        <v>5.2311086168545868</v>
      </c>
      <c r="AQ169" s="22">
        <f t="shared" si="54"/>
        <v>0</v>
      </c>
      <c r="AR169" s="22">
        <f t="shared" si="55"/>
        <v>0.69314718055994529</v>
      </c>
      <c r="AS169" s="22">
        <f t="shared" si="56"/>
        <v>1.9459101490553132</v>
      </c>
    </row>
    <row r="170" spans="1:45" x14ac:dyDescent="0.25">
      <c r="A170" t="s">
        <v>10</v>
      </c>
      <c r="B170" s="2">
        <v>41464</v>
      </c>
      <c r="C170">
        <v>190</v>
      </c>
      <c r="D170">
        <v>2013</v>
      </c>
      <c r="E170">
        <v>1005</v>
      </c>
      <c r="F170">
        <v>58100</v>
      </c>
      <c r="G170" s="44">
        <f t="shared" si="46"/>
        <v>1</v>
      </c>
      <c r="H170" s="6">
        <v>42.535499999999999</v>
      </c>
      <c r="I170" s="6">
        <v>-80.972833333333327</v>
      </c>
      <c r="J170">
        <v>42.632766666666669</v>
      </c>
      <c r="K170">
        <v>-81.01636666666667</v>
      </c>
      <c r="L170">
        <v>41.96221666666667</v>
      </c>
      <c r="M170">
        <v>-80.744650000000007</v>
      </c>
      <c r="N170" s="22">
        <f t="shared" si="57"/>
        <v>0.10656432590485902</v>
      </c>
      <c r="O170" s="22">
        <f t="shared" si="58"/>
        <v>0.61702626677385264</v>
      </c>
      <c r="P170" s="22">
        <f t="shared" si="45"/>
        <v>0.10656432590485902</v>
      </c>
      <c r="Q170">
        <v>21.5</v>
      </c>
      <c r="R170">
        <v>12.4</v>
      </c>
      <c r="S170">
        <v>18.399999999999999</v>
      </c>
      <c r="T170" s="1">
        <v>14</v>
      </c>
      <c r="U170" s="1">
        <v>0</v>
      </c>
      <c r="V170">
        <v>2559</v>
      </c>
      <c r="W170">
        <v>20</v>
      </c>
      <c r="X170">
        <v>0.96</v>
      </c>
      <c r="Y170">
        <v>272</v>
      </c>
      <c r="Z170" s="28">
        <f t="shared" si="47"/>
        <v>0</v>
      </c>
      <c r="AA170" s="28">
        <f t="shared" si="48"/>
        <v>0.75</v>
      </c>
      <c r="AB170" s="28">
        <f t="shared" si="49"/>
        <v>3.15</v>
      </c>
      <c r="AC170" s="28">
        <f t="shared" si="50"/>
        <v>9.4</v>
      </c>
      <c r="AD170" s="28">
        <f t="shared" si="51"/>
        <v>0.2</v>
      </c>
      <c r="AE170">
        <f t="shared" si="40"/>
        <v>0</v>
      </c>
      <c r="AF170">
        <f t="shared" si="41"/>
        <v>5.514705882352941E-2</v>
      </c>
      <c r="AG170">
        <f t="shared" si="42"/>
        <v>0.23161764705882354</v>
      </c>
      <c r="AH170">
        <f t="shared" si="43"/>
        <v>0.69117647058823528</v>
      </c>
      <c r="AI170">
        <f t="shared" si="44"/>
        <v>1.4705882352941176E-2</v>
      </c>
      <c r="AJ170">
        <v>0</v>
      </c>
      <c r="AK170">
        <v>15</v>
      </c>
      <c r="AL170">
        <v>63</v>
      </c>
      <c r="AM170">
        <v>188</v>
      </c>
      <c r="AN170">
        <v>4</v>
      </c>
      <c r="AO170" s="22">
        <f t="shared" si="52"/>
        <v>0</v>
      </c>
      <c r="AP170" s="22">
        <f t="shared" si="53"/>
        <v>2.7725887222397811</v>
      </c>
      <c r="AQ170" s="22">
        <f t="shared" si="54"/>
        <v>4.1588830833596715</v>
      </c>
      <c r="AR170" s="22">
        <f t="shared" si="55"/>
        <v>5.2417470150596426</v>
      </c>
      <c r="AS170" s="22">
        <f t="shared" si="56"/>
        <v>1.6094379124341003</v>
      </c>
    </row>
    <row r="171" spans="1:45" x14ac:dyDescent="0.25">
      <c r="A171" t="s">
        <v>10</v>
      </c>
      <c r="B171" s="2">
        <v>41464</v>
      </c>
      <c r="C171">
        <v>190</v>
      </c>
      <c r="D171">
        <v>2013</v>
      </c>
      <c r="E171">
        <v>1006</v>
      </c>
      <c r="F171">
        <v>58100</v>
      </c>
      <c r="G171" s="44">
        <f t="shared" si="46"/>
        <v>1</v>
      </c>
      <c r="H171" s="6">
        <v>42.531500000000008</v>
      </c>
      <c r="I171" s="6">
        <v>-80.980166666666662</v>
      </c>
      <c r="J171">
        <v>42.632766666666669</v>
      </c>
      <c r="K171">
        <v>-81.01636666666667</v>
      </c>
      <c r="L171">
        <v>41.96221666666667</v>
      </c>
      <c r="M171">
        <v>-80.744650000000007</v>
      </c>
      <c r="N171" s="22">
        <f t="shared" si="57"/>
        <v>0.10754244640037294</v>
      </c>
      <c r="O171" s="22">
        <f t="shared" si="58"/>
        <v>0.61607760378777687</v>
      </c>
      <c r="P171" s="22">
        <f t="shared" si="45"/>
        <v>0.10754244640037294</v>
      </c>
      <c r="Q171">
        <v>21.5</v>
      </c>
      <c r="R171">
        <v>20.8</v>
      </c>
      <c r="S171">
        <v>18.600000000000001</v>
      </c>
      <c r="T171" s="1">
        <v>12</v>
      </c>
      <c r="U171" s="1">
        <v>0</v>
      </c>
      <c r="V171">
        <v>2647</v>
      </c>
      <c r="W171">
        <v>20</v>
      </c>
      <c r="X171">
        <v>1.07</v>
      </c>
      <c r="Y171">
        <v>1014</v>
      </c>
      <c r="Z171" s="28">
        <f t="shared" si="47"/>
        <v>0</v>
      </c>
      <c r="AA171" s="28">
        <f t="shared" si="48"/>
        <v>0.05</v>
      </c>
      <c r="AB171" s="28">
        <f t="shared" si="49"/>
        <v>0</v>
      </c>
      <c r="AC171" s="28">
        <f t="shared" si="50"/>
        <v>50.45</v>
      </c>
      <c r="AD171" s="28">
        <f t="shared" si="51"/>
        <v>0.05</v>
      </c>
      <c r="AE171">
        <f t="shared" si="40"/>
        <v>0</v>
      </c>
      <c r="AF171">
        <f t="shared" si="41"/>
        <v>9.8619329388560163E-4</v>
      </c>
      <c r="AG171">
        <f t="shared" si="42"/>
        <v>0</v>
      </c>
      <c r="AH171">
        <f t="shared" si="43"/>
        <v>0.99506903353057197</v>
      </c>
      <c r="AI171">
        <f t="shared" si="44"/>
        <v>9.8619329388560163E-4</v>
      </c>
      <c r="AJ171">
        <v>0</v>
      </c>
      <c r="AK171">
        <v>1</v>
      </c>
      <c r="AL171">
        <v>0</v>
      </c>
      <c r="AM171">
        <v>1009</v>
      </c>
      <c r="AN171">
        <v>1</v>
      </c>
      <c r="AO171" s="22">
        <f t="shared" si="52"/>
        <v>0</v>
      </c>
      <c r="AP171" s="22">
        <f t="shared" si="53"/>
        <v>0.69314718055994529</v>
      </c>
      <c r="AQ171" s="22">
        <f t="shared" si="54"/>
        <v>0</v>
      </c>
      <c r="AR171" s="22">
        <f t="shared" si="55"/>
        <v>6.9177056098353047</v>
      </c>
      <c r="AS171" s="22">
        <f t="shared" si="56"/>
        <v>0.69314718055994529</v>
      </c>
    </row>
    <row r="172" spans="1:45" x14ac:dyDescent="0.25">
      <c r="A172" t="s">
        <v>10</v>
      </c>
      <c r="B172" s="2">
        <v>41464</v>
      </c>
      <c r="C172">
        <v>190</v>
      </c>
      <c r="D172">
        <v>2013</v>
      </c>
      <c r="E172">
        <v>1007</v>
      </c>
      <c r="F172">
        <v>58100</v>
      </c>
      <c r="G172" s="44">
        <f t="shared" si="46"/>
        <v>1</v>
      </c>
      <c r="H172" s="6">
        <v>42.533500000000004</v>
      </c>
      <c r="I172" s="6">
        <v>-80.986666666666665</v>
      </c>
      <c r="J172">
        <v>42.632766666666669</v>
      </c>
      <c r="K172">
        <v>-81.01636666666667</v>
      </c>
      <c r="L172">
        <v>41.96221666666667</v>
      </c>
      <c r="M172">
        <v>-80.744650000000007</v>
      </c>
      <c r="N172" s="22">
        <f t="shared" si="57"/>
        <v>0.10361448311462598</v>
      </c>
      <c r="O172" s="22">
        <f t="shared" si="58"/>
        <v>0.62043268280199804</v>
      </c>
      <c r="P172" s="22">
        <f t="shared" si="45"/>
        <v>0.10361448311462598</v>
      </c>
      <c r="Q172">
        <v>21.5</v>
      </c>
      <c r="R172">
        <v>21.5</v>
      </c>
      <c r="S172">
        <v>18.600000000000001</v>
      </c>
      <c r="T172" s="1">
        <v>8</v>
      </c>
      <c r="U172" s="1">
        <v>0</v>
      </c>
      <c r="V172">
        <v>2733</v>
      </c>
      <c r="W172">
        <v>20</v>
      </c>
      <c r="X172">
        <v>0.98</v>
      </c>
      <c r="Y172">
        <v>415</v>
      </c>
      <c r="Z172" s="28">
        <f t="shared" si="47"/>
        <v>0</v>
      </c>
      <c r="AA172" s="28">
        <f t="shared" si="48"/>
        <v>0.45</v>
      </c>
      <c r="AB172" s="28">
        <f t="shared" si="49"/>
        <v>0</v>
      </c>
      <c r="AC172" s="28">
        <f t="shared" si="50"/>
        <v>18.95</v>
      </c>
      <c r="AD172" s="28">
        <f t="shared" si="51"/>
        <v>1.25</v>
      </c>
      <c r="AE172">
        <f t="shared" si="40"/>
        <v>0</v>
      </c>
      <c r="AF172">
        <f t="shared" si="41"/>
        <v>2.1686746987951807E-2</v>
      </c>
      <c r="AG172">
        <f t="shared" si="42"/>
        <v>0</v>
      </c>
      <c r="AH172">
        <f t="shared" si="43"/>
        <v>0.91325301204819276</v>
      </c>
      <c r="AI172">
        <f t="shared" si="44"/>
        <v>6.0240963855421686E-2</v>
      </c>
      <c r="AJ172">
        <v>0</v>
      </c>
      <c r="AK172">
        <v>9</v>
      </c>
      <c r="AL172">
        <v>0</v>
      </c>
      <c r="AM172">
        <v>379</v>
      </c>
      <c r="AN172">
        <v>25</v>
      </c>
      <c r="AO172" s="22">
        <f t="shared" si="52"/>
        <v>0</v>
      </c>
      <c r="AP172" s="22">
        <f t="shared" si="53"/>
        <v>2.3025850929940459</v>
      </c>
      <c r="AQ172" s="22">
        <f t="shared" si="54"/>
        <v>0</v>
      </c>
      <c r="AR172" s="22">
        <f t="shared" si="55"/>
        <v>5.9401712527204316</v>
      </c>
      <c r="AS172" s="22">
        <f t="shared" si="56"/>
        <v>3.2580965380214821</v>
      </c>
    </row>
    <row r="173" spans="1:45" x14ac:dyDescent="0.25">
      <c r="A173" t="s">
        <v>10</v>
      </c>
      <c r="B173" s="2">
        <v>41464</v>
      </c>
      <c r="C173">
        <v>190</v>
      </c>
      <c r="D173">
        <v>2013</v>
      </c>
      <c r="E173">
        <v>1008</v>
      </c>
      <c r="F173">
        <v>58100</v>
      </c>
      <c r="G173" s="44">
        <f t="shared" si="46"/>
        <v>1</v>
      </c>
      <c r="H173" s="6">
        <v>42.62016666666667</v>
      </c>
      <c r="I173" s="6">
        <v>-81.01966666666668</v>
      </c>
      <c r="J173">
        <v>42.632766666666669</v>
      </c>
      <c r="K173">
        <v>-81.01636666666667</v>
      </c>
      <c r="L173">
        <v>41.96221666666667</v>
      </c>
      <c r="M173">
        <v>-80.744650000000007</v>
      </c>
      <c r="N173" s="22">
        <f t="shared" si="57"/>
        <v>1.3024976007657086E-2</v>
      </c>
      <c r="O173" s="22">
        <f t="shared" si="58"/>
        <v>0.71311455562514448</v>
      </c>
      <c r="P173" s="22">
        <f t="shared" si="45"/>
        <v>1.3024976007657086E-2</v>
      </c>
      <c r="Q173">
        <v>21.8</v>
      </c>
      <c r="R173">
        <v>14.3</v>
      </c>
      <c r="S173">
        <v>13.6</v>
      </c>
      <c r="T173" s="1">
        <v>11</v>
      </c>
      <c r="U173" s="1">
        <v>0</v>
      </c>
      <c r="V173">
        <v>2848</v>
      </c>
      <c r="W173">
        <v>20</v>
      </c>
      <c r="X173">
        <v>0.95</v>
      </c>
      <c r="Y173">
        <v>857</v>
      </c>
      <c r="Z173" s="28">
        <f t="shared" si="47"/>
        <v>0</v>
      </c>
      <c r="AA173" s="28">
        <f t="shared" si="48"/>
        <v>0</v>
      </c>
      <c r="AB173" s="28">
        <f t="shared" si="49"/>
        <v>13.55</v>
      </c>
      <c r="AC173" s="28">
        <f t="shared" si="50"/>
        <v>28.9</v>
      </c>
      <c r="AD173" s="28">
        <f t="shared" si="51"/>
        <v>0</v>
      </c>
      <c r="AE173">
        <f t="shared" si="40"/>
        <v>0</v>
      </c>
      <c r="AF173">
        <f t="shared" si="41"/>
        <v>0</v>
      </c>
      <c r="AG173">
        <f t="shared" si="42"/>
        <v>0.3162193698949825</v>
      </c>
      <c r="AH173">
        <f t="shared" si="43"/>
        <v>0.67444574095682619</v>
      </c>
      <c r="AI173">
        <f t="shared" si="44"/>
        <v>0</v>
      </c>
      <c r="AJ173">
        <v>0</v>
      </c>
      <c r="AK173">
        <v>0</v>
      </c>
      <c r="AL173">
        <v>271</v>
      </c>
      <c r="AM173">
        <v>578</v>
      </c>
      <c r="AN173">
        <v>0</v>
      </c>
      <c r="AO173" s="22">
        <f t="shared" si="52"/>
        <v>0</v>
      </c>
      <c r="AP173" s="22">
        <f t="shared" si="53"/>
        <v>0</v>
      </c>
      <c r="AQ173" s="22">
        <f t="shared" si="54"/>
        <v>5.6058020662959978</v>
      </c>
      <c r="AR173" s="22">
        <f t="shared" si="55"/>
        <v>6.3613024775729956</v>
      </c>
      <c r="AS173" s="22">
        <f t="shared" si="56"/>
        <v>0</v>
      </c>
    </row>
    <row r="174" spans="1:45" x14ac:dyDescent="0.25">
      <c r="A174" t="s">
        <v>10</v>
      </c>
      <c r="B174" s="2">
        <v>41464</v>
      </c>
      <c r="C174">
        <v>190</v>
      </c>
      <c r="D174">
        <v>2013</v>
      </c>
      <c r="E174">
        <v>1009</v>
      </c>
      <c r="F174">
        <v>58100</v>
      </c>
      <c r="G174" s="44">
        <f t="shared" si="46"/>
        <v>1</v>
      </c>
      <c r="H174" s="13">
        <v>42.62016666666667</v>
      </c>
      <c r="I174" s="6">
        <v>-81.021999999999991</v>
      </c>
      <c r="J174">
        <v>42.632766666666669</v>
      </c>
      <c r="K174">
        <v>-81.01636666666667</v>
      </c>
      <c r="L174">
        <v>41.96221666666667</v>
      </c>
      <c r="M174">
        <v>-80.744650000000007</v>
      </c>
      <c r="N174" s="22">
        <f t="shared" si="57"/>
        <v>1.3801972483825857E-2</v>
      </c>
      <c r="O174" s="22">
        <f t="shared" si="58"/>
        <v>0.71401766434731206</v>
      </c>
      <c r="P174" s="22">
        <f t="shared" si="45"/>
        <v>1.3801972483825857E-2</v>
      </c>
      <c r="Q174">
        <v>21.8</v>
      </c>
      <c r="R174">
        <v>21.6</v>
      </c>
      <c r="S174">
        <v>13.6</v>
      </c>
      <c r="T174" s="21">
        <v>8</v>
      </c>
      <c r="U174" s="47">
        <v>0</v>
      </c>
      <c r="V174">
        <v>2929</v>
      </c>
      <c r="W174">
        <v>20</v>
      </c>
      <c r="X174">
        <v>1.05</v>
      </c>
      <c r="Y174">
        <v>492</v>
      </c>
      <c r="Z174" s="28">
        <f t="shared" si="47"/>
        <v>0</v>
      </c>
      <c r="AA174" s="28">
        <f t="shared" si="48"/>
        <v>0.3</v>
      </c>
      <c r="AB174" s="28">
        <f t="shared" si="49"/>
        <v>0</v>
      </c>
      <c r="AC174" s="28">
        <f t="shared" si="50"/>
        <v>24</v>
      </c>
      <c r="AD174" s="28">
        <f t="shared" si="51"/>
        <v>0.05</v>
      </c>
      <c r="AE174">
        <f t="shared" si="40"/>
        <v>0</v>
      </c>
      <c r="AF174">
        <f t="shared" si="41"/>
        <v>1.2195121951219513E-2</v>
      </c>
      <c r="AG174">
        <f t="shared" si="42"/>
        <v>0</v>
      </c>
      <c r="AH174">
        <f t="shared" si="43"/>
        <v>0.97560975609756095</v>
      </c>
      <c r="AI174">
        <f t="shared" si="44"/>
        <v>2.0325203252032522E-3</v>
      </c>
      <c r="AJ174">
        <v>0</v>
      </c>
      <c r="AK174">
        <v>6</v>
      </c>
      <c r="AL174">
        <v>0</v>
      </c>
      <c r="AM174">
        <v>480</v>
      </c>
      <c r="AN174">
        <v>1</v>
      </c>
      <c r="AO174" s="22">
        <f t="shared" si="52"/>
        <v>0</v>
      </c>
      <c r="AP174" s="22">
        <f t="shared" si="53"/>
        <v>1.9459101490553132</v>
      </c>
      <c r="AQ174" s="22">
        <f t="shared" si="54"/>
        <v>0</v>
      </c>
      <c r="AR174" s="22">
        <f t="shared" si="55"/>
        <v>6.1758672701057611</v>
      </c>
      <c r="AS174" s="22">
        <f t="shared" si="56"/>
        <v>0.69314718055994529</v>
      </c>
    </row>
    <row r="175" spans="1:45" x14ac:dyDescent="0.25">
      <c r="A175" t="s">
        <v>10</v>
      </c>
      <c r="B175" s="2">
        <v>41464</v>
      </c>
      <c r="C175">
        <v>190</v>
      </c>
      <c r="D175">
        <v>2013</v>
      </c>
      <c r="E175">
        <v>2001</v>
      </c>
      <c r="F175">
        <v>57850</v>
      </c>
      <c r="G175" s="44">
        <f t="shared" si="46"/>
        <v>1</v>
      </c>
      <c r="H175" s="6">
        <v>42.560999999999993</v>
      </c>
      <c r="I175" s="6">
        <v>-81.47399999999999</v>
      </c>
      <c r="J175">
        <v>42.566916666666664</v>
      </c>
      <c r="K175">
        <v>-81.47208333333333</v>
      </c>
      <c r="L175">
        <v>41.819366666666667</v>
      </c>
      <c r="M175">
        <v>-81.155166666666673</v>
      </c>
      <c r="N175" s="22">
        <f t="shared" si="57"/>
        <v>6.2193693856838188E-3</v>
      </c>
      <c r="O175" s="22">
        <f t="shared" si="58"/>
        <v>0.80726370880619502</v>
      </c>
      <c r="P175" s="22">
        <f t="shared" si="45"/>
        <v>6.2193693856838188E-3</v>
      </c>
      <c r="Q175">
        <v>22</v>
      </c>
      <c r="R175">
        <v>14.5</v>
      </c>
      <c r="S175">
        <v>11.9</v>
      </c>
      <c r="T175" s="1">
        <v>6</v>
      </c>
      <c r="U175" s="1">
        <v>0</v>
      </c>
      <c r="V175">
        <v>2131</v>
      </c>
      <c r="W175">
        <v>20</v>
      </c>
      <c r="X175">
        <v>1</v>
      </c>
      <c r="Y175">
        <v>1118</v>
      </c>
      <c r="Z175" s="28">
        <f t="shared" si="47"/>
        <v>0</v>
      </c>
      <c r="AA175" s="28">
        <f t="shared" si="48"/>
        <v>4.6500000000000004</v>
      </c>
      <c r="AB175" s="28">
        <f t="shared" si="49"/>
        <v>1.5</v>
      </c>
      <c r="AC175" s="28">
        <f t="shared" si="50"/>
        <v>46.2</v>
      </c>
      <c r="AD175" s="28">
        <f t="shared" si="51"/>
        <v>0</v>
      </c>
      <c r="AE175">
        <f t="shared" si="40"/>
        <v>0</v>
      </c>
      <c r="AF175">
        <f t="shared" si="41"/>
        <v>8.3184257602862258E-2</v>
      </c>
      <c r="AG175">
        <f t="shared" si="42"/>
        <v>2.6833631484794274E-2</v>
      </c>
      <c r="AH175">
        <f t="shared" si="43"/>
        <v>0.82647584973166366</v>
      </c>
      <c r="AI175">
        <f t="shared" si="44"/>
        <v>0</v>
      </c>
      <c r="AJ175">
        <v>0</v>
      </c>
      <c r="AK175">
        <v>93</v>
      </c>
      <c r="AL175">
        <v>30</v>
      </c>
      <c r="AM175">
        <v>924</v>
      </c>
      <c r="AN175">
        <v>0</v>
      </c>
      <c r="AO175" s="22">
        <f t="shared" si="52"/>
        <v>0</v>
      </c>
      <c r="AP175" s="22">
        <f t="shared" si="53"/>
        <v>4.5432947822700038</v>
      </c>
      <c r="AQ175" s="22">
        <f t="shared" si="54"/>
        <v>3.4339872044851463</v>
      </c>
      <c r="AR175" s="22">
        <f t="shared" si="55"/>
        <v>6.8297937375124249</v>
      </c>
      <c r="AS175" s="22">
        <f t="shared" si="56"/>
        <v>0</v>
      </c>
    </row>
    <row r="176" spans="1:45" x14ac:dyDescent="0.25">
      <c r="A176" t="s">
        <v>10</v>
      </c>
      <c r="B176" s="2">
        <v>41464</v>
      </c>
      <c r="C176">
        <v>190</v>
      </c>
      <c r="D176">
        <v>2013</v>
      </c>
      <c r="E176">
        <v>2002</v>
      </c>
      <c r="F176">
        <v>57850</v>
      </c>
      <c r="G176" s="44">
        <f t="shared" si="46"/>
        <v>1</v>
      </c>
      <c r="H176" s="6">
        <v>42.560333333333332</v>
      </c>
      <c r="I176" s="6">
        <v>-81.476500000000001</v>
      </c>
      <c r="J176">
        <v>42.566916666666664</v>
      </c>
      <c r="K176">
        <v>-81.47208333333333</v>
      </c>
      <c r="L176">
        <v>41.819366666666667</v>
      </c>
      <c r="M176">
        <v>-81.155166666666673</v>
      </c>
      <c r="N176" s="22">
        <f t="shared" si="57"/>
        <v>7.927623996017933E-3</v>
      </c>
      <c r="O176" s="22">
        <f t="shared" si="58"/>
        <v>0.80764268845957909</v>
      </c>
      <c r="P176" s="22">
        <f t="shared" si="45"/>
        <v>7.927623996017933E-3</v>
      </c>
      <c r="Q176">
        <v>22</v>
      </c>
      <c r="R176">
        <v>13</v>
      </c>
      <c r="S176">
        <v>11.8</v>
      </c>
      <c r="T176" s="1">
        <v>9</v>
      </c>
      <c r="U176" s="1">
        <v>0</v>
      </c>
      <c r="V176">
        <v>2219</v>
      </c>
      <c r="W176">
        <v>20</v>
      </c>
      <c r="X176">
        <v>0.98</v>
      </c>
      <c r="Y176">
        <v>1865</v>
      </c>
      <c r="Z176" s="28">
        <f t="shared" si="47"/>
        <v>0</v>
      </c>
      <c r="AA176" s="28">
        <f t="shared" si="48"/>
        <v>2.4500000000000002</v>
      </c>
      <c r="AB176" s="28">
        <f t="shared" si="49"/>
        <v>8.3000000000000007</v>
      </c>
      <c r="AC176" s="28">
        <f t="shared" si="50"/>
        <v>80.25</v>
      </c>
      <c r="AD176" s="28">
        <f t="shared" si="51"/>
        <v>0</v>
      </c>
      <c r="AE176">
        <f t="shared" si="40"/>
        <v>0</v>
      </c>
      <c r="AF176">
        <f t="shared" si="41"/>
        <v>2.6273458445040216E-2</v>
      </c>
      <c r="AG176">
        <f t="shared" si="42"/>
        <v>8.9008042895442355E-2</v>
      </c>
      <c r="AH176">
        <f t="shared" si="43"/>
        <v>0.8605898123324397</v>
      </c>
      <c r="AI176">
        <f t="shared" si="44"/>
        <v>0</v>
      </c>
      <c r="AJ176">
        <v>0</v>
      </c>
      <c r="AK176">
        <v>49</v>
      </c>
      <c r="AL176">
        <v>166</v>
      </c>
      <c r="AM176">
        <v>1605</v>
      </c>
      <c r="AN176">
        <v>0</v>
      </c>
      <c r="AO176" s="22">
        <f t="shared" si="52"/>
        <v>0</v>
      </c>
      <c r="AP176" s="22">
        <f t="shared" si="53"/>
        <v>3.912023005428146</v>
      </c>
      <c r="AQ176" s="22">
        <f t="shared" si="54"/>
        <v>5.1179938124167554</v>
      </c>
      <c r="AR176" s="22">
        <f t="shared" si="55"/>
        <v>7.381501894506707</v>
      </c>
      <c r="AS176" s="22">
        <f t="shared" si="56"/>
        <v>0</v>
      </c>
    </row>
    <row r="177" spans="1:45" x14ac:dyDescent="0.25">
      <c r="A177" t="s">
        <v>10</v>
      </c>
      <c r="B177" s="2">
        <v>41464</v>
      </c>
      <c r="C177">
        <v>190</v>
      </c>
      <c r="D177">
        <v>2013</v>
      </c>
      <c r="E177">
        <v>2003</v>
      </c>
      <c r="F177">
        <v>57850</v>
      </c>
      <c r="G177" s="44">
        <f t="shared" si="46"/>
        <v>1</v>
      </c>
      <c r="H177" s="6">
        <v>42.490666666666662</v>
      </c>
      <c r="I177" s="6">
        <v>-81.442833333333326</v>
      </c>
      <c r="J177">
        <v>42.566916666666664</v>
      </c>
      <c r="K177">
        <v>-81.47208333333333</v>
      </c>
      <c r="L177">
        <v>41.819366666666667</v>
      </c>
      <c r="M177">
        <v>-81.155166666666673</v>
      </c>
      <c r="N177" s="22">
        <f t="shared" si="57"/>
        <v>8.1667772101365249E-2</v>
      </c>
      <c r="O177" s="22">
        <f t="shared" si="58"/>
        <v>0.73033951085169713</v>
      </c>
      <c r="P177" s="22">
        <f t="shared" si="45"/>
        <v>8.1667772101365249E-2</v>
      </c>
      <c r="Q177">
        <v>21.6</v>
      </c>
      <c r="R177">
        <v>14.6</v>
      </c>
      <c r="S177">
        <v>18.899999999999999</v>
      </c>
      <c r="T177" s="1">
        <v>14</v>
      </c>
      <c r="U177" s="1">
        <v>0</v>
      </c>
      <c r="V177">
        <v>2338</v>
      </c>
      <c r="W177">
        <v>20</v>
      </c>
      <c r="X177">
        <v>0.97</v>
      </c>
      <c r="Y177">
        <v>126</v>
      </c>
      <c r="Z177" s="28">
        <f t="shared" si="47"/>
        <v>0</v>
      </c>
      <c r="AA177" s="28">
        <f t="shared" si="48"/>
        <v>2.4500000000000002</v>
      </c>
      <c r="AB177" s="28">
        <f t="shared" si="49"/>
        <v>2.2999999999999998</v>
      </c>
      <c r="AC177" s="28">
        <f t="shared" si="50"/>
        <v>1.45</v>
      </c>
      <c r="AD177" s="28">
        <f t="shared" si="51"/>
        <v>0</v>
      </c>
      <c r="AE177">
        <f t="shared" si="40"/>
        <v>0</v>
      </c>
      <c r="AF177">
        <f t="shared" si="41"/>
        <v>0.3888888888888889</v>
      </c>
      <c r="AG177">
        <f t="shared" si="42"/>
        <v>0.36507936507936506</v>
      </c>
      <c r="AH177">
        <f t="shared" si="43"/>
        <v>0.23015873015873015</v>
      </c>
      <c r="AI177">
        <f t="shared" si="44"/>
        <v>0</v>
      </c>
      <c r="AJ177">
        <v>0</v>
      </c>
      <c r="AK177">
        <v>49</v>
      </c>
      <c r="AL177">
        <v>46</v>
      </c>
      <c r="AM177">
        <v>29</v>
      </c>
      <c r="AN177">
        <v>0</v>
      </c>
      <c r="AO177" s="22">
        <f t="shared" si="52"/>
        <v>0</v>
      </c>
      <c r="AP177" s="22">
        <f t="shared" si="53"/>
        <v>3.912023005428146</v>
      </c>
      <c r="AQ177" s="22">
        <f t="shared" si="54"/>
        <v>3.8501476017100584</v>
      </c>
      <c r="AR177" s="22">
        <f t="shared" si="55"/>
        <v>3.4011973816621555</v>
      </c>
      <c r="AS177" s="22">
        <f t="shared" si="56"/>
        <v>0</v>
      </c>
    </row>
    <row r="178" spans="1:45" x14ac:dyDescent="0.25">
      <c r="A178" t="s">
        <v>10</v>
      </c>
      <c r="B178" s="2">
        <v>41464</v>
      </c>
      <c r="C178">
        <v>190</v>
      </c>
      <c r="D178">
        <v>2013</v>
      </c>
      <c r="E178">
        <v>2004</v>
      </c>
      <c r="F178">
        <v>57850</v>
      </c>
      <c r="G178" s="44">
        <f t="shared" si="46"/>
        <v>1</v>
      </c>
      <c r="H178" s="6">
        <v>42.484333333333339</v>
      </c>
      <c r="I178" s="6">
        <v>-81.451999999999984</v>
      </c>
      <c r="J178">
        <v>42.566916666666664</v>
      </c>
      <c r="K178">
        <v>-81.47208333333333</v>
      </c>
      <c r="L178">
        <v>41.819366666666667</v>
      </c>
      <c r="M178">
        <v>-81.155166666666673</v>
      </c>
      <c r="N178" s="22">
        <f t="shared" si="57"/>
        <v>8.4990277221699717E-2</v>
      </c>
      <c r="O178" s="22">
        <f t="shared" si="58"/>
        <v>0.72821061208660576</v>
      </c>
      <c r="P178" s="22">
        <f t="shared" si="45"/>
        <v>8.4990277221699717E-2</v>
      </c>
      <c r="Q178">
        <v>21.6</v>
      </c>
      <c r="R178">
        <v>19.2</v>
      </c>
      <c r="S178">
        <v>19.7</v>
      </c>
      <c r="T178" s="1">
        <v>12</v>
      </c>
      <c r="U178" s="1">
        <v>0</v>
      </c>
      <c r="V178">
        <v>2424</v>
      </c>
      <c r="W178">
        <v>20</v>
      </c>
      <c r="X178">
        <v>1.02</v>
      </c>
      <c r="Y178">
        <v>327</v>
      </c>
      <c r="Z178" s="28">
        <f t="shared" si="47"/>
        <v>0</v>
      </c>
      <c r="AA178" s="28">
        <f t="shared" si="48"/>
        <v>1.4</v>
      </c>
      <c r="AB178" s="28">
        <f t="shared" si="49"/>
        <v>0.2</v>
      </c>
      <c r="AC178" s="28">
        <f t="shared" si="50"/>
        <v>14.4</v>
      </c>
      <c r="AD178" s="28">
        <f t="shared" si="51"/>
        <v>0.1</v>
      </c>
      <c r="AE178">
        <f t="shared" si="40"/>
        <v>0</v>
      </c>
      <c r="AF178">
        <f t="shared" si="41"/>
        <v>8.5626911314984705E-2</v>
      </c>
      <c r="AG178">
        <f t="shared" si="42"/>
        <v>1.2232415902140673E-2</v>
      </c>
      <c r="AH178">
        <f t="shared" si="43"/>
        <v>0.88073394495412849</v>
      </c>
      <c r="AI178">
        <f t="shared" si="44"/>
        <v>6.1162079510703364E-3</v>
      </c>
      <c r="AJ178">
        <v>0</v>
      </c>
      <c r="AK178">
        <v>28</v>
      </c>
      <c r="AL178">
        <v>4</v>
      </c>
      <c r="AM178">
        <v>288</v>
      </c>
      <c r="AN178">
        <v>2</v>
      </c>
      <c r="AO178" s="22">
        <f t="shared" si="52"/>
        <v>0</v>
      </c>
      <c r="AP178" s="22">
        <f t="shared" si="53"/>
        <v>3.3672958299864741</v>
      </c>
      <c r="AQ178" s="22">
        <f t="shared" si="54"/>
        <v>1.6094379124341003</v>
      </c>
      <c r="AR178" s="22">
        <f t="shared" si="55"/>
        <v>5.6664266881124323</v>
      </c>
      <c r="AS178" s="22">
        <f t="shared" si="56"/>
        <v>1.0986122886681098</v>
      </c>
    </row>
    <row r="179" spans="1:45" x14ac:dyDescent="0.25">
      <c r="A179" t="s">
        <v>10</v>
      </c>
      <c r="B179" s="2">
        <v>41466</v>
      </c>
      <c r="C179">
        <v>192</v>
      </c>
      <c r="D179">
        <v>2013</v>
      </c>
      <c r="E179">
        <v>3001</v>
      </c>
      <c r="F179">
        <v>57600</v>
      </c>
      <c r="G179" s="44">
        <f t="shared" si="46"/>
        <v>0</v>
      </c>
      <c r="H179" s="6">
        <v>42.253833333333326</v>
      </c>
      <c r="I179" s="6">
        <v>-81.832333333333324</v>
      </c>
      <c r="J179">
        <v>42.261233333333337</v>
      </c>
      <c r="K179">
        <v>-81.829883333333328</v>
      </c>
      <c r="L179">
        <v>41.621000000000002</v>
      </c>
      <c r="M179">
        <v>-81.539483333333337</v>
      </c>
      <c r="N179" s="22">
        <f t="shared" si="57"/>
        <v>7.7950304681987052E-3</v>
      </c>
      <c r="O179" s="22">
        <f t="shared" si="58"/>
        <v>0.69730850437790992</v>
      </c>
      <c r="P179" s="22">
        <f t="shared" si="45"/>
        <v>7.7950304681987052E-3</v>
      </c>
      <c r="Q179">
        <v>15.8</v>
      </c>
      <c r="R179">
        <v>11.5</v>
      </c>
      <c r="S179">
        <v>12</v>
      </c>
      <c r="T179" s="1">
        <v>9</v>
      </c>
      <c r="U179" s="1">
        <v>0</v>
      </c>
      <c r="V179">
        <v>2207</v>
      </c>
      <c r="W179">
        <v>20</v>
      </c>
      <c r="X179">
        <v>1.02</v>
      </c>
      <c r="Y179">
        <v>910</v>
      </c>
      <c r="Z179" s="28">
        <f t="shared" si="47"/>
        <v>0</v>
      </c>
      <c r="AA179" s="28">
        <f t="shared" si="48"/>
        <v>4.8</v>
      </c>
      <c r="AB179" s="28">
        <f t="shared" si="49"/>
        <v>3.8</v>
      </c>
      <c r="AC179" s="28">
        <f t="shared" si="50"/>
        <v>36.5</v>
      </c>
      <c r="AD179" s="28">
        <f t="shared" si="51"/>
        <v>0.05</v>
      </c>
      <c r="AE179">
        <f t="shared" si="40"/>
        <v>0</v>
      </c>
      <c r="AF179">
        <f t="shared" si="41"/>
        <v>0.10549450549450549</v>
      </c>
      <c r="AG179">
        <f t="shared" si="42"/>
        <v>8.3516483516483511E-2</v>
      </c>
      <c r="AH179">
        <f t="shared" si="43"/>
        <v>0.80219780219780223</v>
      </c>
      <c r="AI179">
        <f t="shared" si="44"/>
        <v>1.0989010989010989E-3</v>
      </c>
      <c r="AJ179">
        <v>0</v>
      </c>
      <c r="AK179">
        <v>96</v>
      </c>
      <c r="AL179">
        <v>76</v>
      </c>
      <c r="AM179">
        <v>730</v>
      </c>
      <c r="AN179">
        <v>1</v>
      </c>
      <c r="AO179" s="22">
        <f t="shared" si="52"/>
        <v>0</v>
      </c>
      <c r="AP179" s="22">
        <f t="shared" si="53"/>
        <v>4.5747109785033828</v>
      </c>
      <c r="AQ179" s="22">
        <f t="shared" si="54"/>
        <v>4.3438054218536841</v>
      </c>
      <c r="AR179" s="22">
        <f t="shared" si="55"/>
        <v>6.5944134597497781</v>
      </c>
      <c r="AS179" s="22">
        <f t="shared" si="56"/>
        <v>0.69314718055994529</v>
      </c>
    </row>
    <row r="180" spans="1:45" x14ac:dyDescent="0.25">
      <c r="A180" t="s">
        <v>10</v>
      </c>
      <c r="B180" s="2">
        <v>41466</v>
      </c>
      <c r="C180">
        <v>192</v>
      </c>
      <c r="D180">
        <v>2013</v>
      </c>
      <c r="E180">
        <v>3002</v>
      </c>
      <c r="F180">
        <v>57600</v>
      </c>
      <c r="G180" s="44">
        <f t="shared" si="46"/>
        <v>0</v>
      </c>
      <c r="H180" s="6">
        <v>42.259499999999996</v>
      </c>
      <c r="I180" s="6">
        <v>-81.828666666666678</v>
      </c>
      <c r="J180">
        <v>42.261233333333337</v>
      </c>
      <c r="K180">
        <v>-81.829883333333328</v>
      </c>
      <c r="L180">
        <v>41.621000000000002</v>
      </c>
      <c r="M180">
        <v>-81.539483333333337</v>
      </c>
      <c r="N180" s="22">
        <f t="shared" si="57"/>
        <v>2.1177162751910921E-3</v>
      </c>
      <c r="O180" s="22">
        <f t="shared" si="58"/>
        <v>0.70093455491777101</v>
      </c>
      <c r="P180" s="22">
        <f t="shared" si="45"/>
        <v>2.1177162751910921E-3</v>
      </c>
      <c r="Q180">
        <v>15.8</v>
      </c>
      <c r="R180">
        <v>12.8</v>
      </c>
      <c r="S180">
        <v>11.9</v>
      </c>
      <c r="T180" s="1">
        <v>6</v>
      </c>
      <c r="U180" s="1">
        <v>0</v>
      </c>
      <c r="V180">
        <v>2250</v>
      </c>
      <c r="W180">
        <v>20</v>
      </c>
      <c r="X180">
        <v>0.96</v>
      </c>
      <c r="Y180">
        <v>641</v>
      </c>
      <c r="Z180" s="28">
        <f t="shared" si="47"/>
        <v>0</v>
      </c>
      <c r="AA180" s="28">
        <f t="shared" si="48"/>
        <v>1.05</v>
      </c>
      <c r="AB180" s="28">
        <f t="shared" si="49"/>
        <v>0.1</v>
      </c>
      <c r="AC180" s="28">
        <f t="shared" si="50"/>
        <v>30.15</v>
      </c>
      <c r="AD180" s="28">
        <f t="shared" si="51"/>
        <v>0</v>
      </c>
      <c r="AE180">
        <f t="shared" si="40"/>
        <v>0</v>
      </c>
      <c r="AF180">
        <f t="shared" si="41"/>
        <v>3.2761310452418098E-2</v>
      </c>
      <c r="AG180">
        <f t="shared" si="42"/>
        <v>3.1201248049921998E-3</v>
      </c>
      <c r="AH180">
        <f t="shared" si="43"/>
        <v>0.94071762870514819</v>
      </c>
      <c r="AI180">
        <f t="shared" si="44"/>
        <v>0</v>
      </c>
      <c r="AJ180">
        <v>0</v>
      </c>
      <c r="AK180">
        <v>21</v>
      </c>
      <c r="AL180">
        <v>2</v>
      </c>
      <c r="AM180">
        <v>603</v>
      </c>
      <c r="AN180">
        <v>0</v>
      </c>
      <c r="AO180" s="22">
        <f t="shared" si="52"/>
        <v>0</v>
      </c>
      <c r="AP180" s="22">
        <f t="shared" si="53"/>
        <v>3.0910424533583161</v>
      </c>
      <c r="AQ180" s="22">
        <f t="shared" si="54"/>
        <v>1.0986122886681098</v>
      </c>
      <c r="AR180" s="22">
        <f t="shared" si="55"/>
        <v>6.4035741979348151</v>
      </c>
      <c r="AS180" s="22">
        <f t="shared" si="56"/>
        <v>0</v>
      </c>
    </row>
    <row r="181" spans="1:45" x14ac:dyDescent="0.25">
      <c r="A181" t="s">
        <v>10</v>
      </c>
      <c r="B181" s="2">
        <v>41466</v>
      </c>
      <c r="C181">
        <v>192</v>
      </c>
      <c r="D181">
        <v>2013</v>
      </c>
      <c r="E181">
        <v>3003</v>
      </c>
      <c r="F181">
        <v>57600</v>
      </c>
      <c r="G181" s="44">
        <f t="shared" si="46"/>
        <v>0</v>
      </c>
      <c r="H181" s="13">
        <v>42.214166666666671</v>
      </c>
      <c r="I181" s="6">
        <v>-81.804500000000019</v>
      </c>
      <c r="J181">
        <v>42.261233333333337</v>
      </c>
      <c r="K181">
        <v>-81.829883333333328</v>
      </c>
      <c r="L181">
        <v>41.621000000000002</v>
      </c>
      <c r="M181">
        <v>-81.539483333333337</v>
      </c>
      <c r="N181" s="22">
        <f t="shared" si="57"/>
        <v>5.3475085060436536E-2</v>
      </c>
      <c r="O181" s="22">
        <f t="shared" si="58"/>
        <v>0.64967724914419311</v>
      </c>
      <c r="P181" s="22">
        <f t="shared" si="45"/>
        <v>5.3475085060436536E-2</v>
      </c>
      <c r="Q181">
        <v>21.9</v>
      </c>
      <c r="R181">
        <v>16.899999999999999</v>
      </c>
      <c r="S181">
        <v>20.2</v>
      </c>
      <c r="T181" s="21">
        <v>12</v>
      </c>
      <c r="U181" s="21">
        <v>0</v>
      </c>
      <c r="V181">
        <v>2355</v>
      </c>
      <c r="W181">
        <v>20</v>
      </c>
      <c r="X181">
        <v>0.97</v>
      </c>
      <c r="Y181">
        <v>254</v>
      </c>
      <c r="Z181" s="28">
        <f t="shared" si="47"/>
        <v>0</v>
      </c>
      <c r="AA181" s="28">
        <f t="shared" si="48"/>
        <v>0.35</v>
      </c>
      <c r="AB181" s="28">
        <f t="shared" si="49"/>
        <v>0</v>
      </c>
      <c r="AC181" s="28">
        <f t="shared" si="50"/>
        <v>10.6</v>
      </c>
      <c r="AD181" s="28">
        <f t="shared" si="51"/>
        <v>1.25</v>
      </c>
      <c r="AE181">
        <f t="shared" si="40"/>
        <v>0</v>
      </c>
      <c r="AF181">
        <f t="shared" si="41"/>
        <v>2.7559055118110236E-2</v>
      </c>
      <c r="AG181">
        <f t="shared" si="42"/>
        <v>0</v>
      </c>
      <c r="AH181">
        <f t="shared" si="43"/>
        <v>0.83464566929133854</v>
      </c>
      <c r="AI181">
        <f t="shared" si="44"/>
        <v>9.8425196850393706E-2</v>
      </c>
      <c r="AJ181">
        <v>0</v>
      </c>
      <c r="AK181">
        <v>7</v>
      </c>
      <c r="AL181">
        <v>0</v>
      </c>
      <c r="AM181">
        <v>212</v>
      </c>
      <c r="AN181">
        <v>25</v>
      </c>
      <c r="AO181" s="22">
        <f t="shared" si="52"/>
        <v>0</v>
      </c>
      <c r="AP181" s="22">
        <f t="shared" si="53"/>
        <v>2.0794415416798357</v>
      </c>
      <c r="AQ181" s="22">
        <f t="shared" si="54"/>
        <v>0</v>
      </c>
      <c r="AR181" s="22">
        <f t="shared" si="55"/>
        <v>5.3612921657094255</v>
      </c>
      <c r="AS181" s="22">
        <f t="shared" si="56"/>
        <v>3.2580965380214821</v>
      </c>
    </row>
    <row r="182" spans="1:45" x14ac:dyDescent="0.25">
      <c r="A182" t="s">
        <v>10</v>
      </c>
      <c r="B182" s="2">
        <v>41466</v>
      </c>
      <c r="C182">
        <v>192</v>
      </c>
      <c r="D182">
        <v>2013</v>
      </c>
      <c r="E182">
        <v>3004</v>
      </c>
      <c r="F182">
        <v>57600</v>
      </c>
      <c r="G182" s="44">
        <f t="shared" si="46"/>
        <v>0</v>
      </c>
      <c r="H182" s="6">
        <v>42.211666666666659</v>
      </c>
      <c r="I182" s="6">
        <v>-81.802833333333339</v>
      </c>
      <c r="J182">
        <v>42.261233333333337</v>
      </c>
      <c r="K182">
        <v>-81.829883333333328</v>
      </c>
      <c r="L182">
        <v>41.621000000000002</v>
      </c>
      <c r="M182">
        <v>-81.539483333333337</v>
      </c>
      <c r="N182" s="22">
        <f t="shared" si="57"/>
        <v>5.6467308634686415E-2</v>
      </c>
      <c r="O182" s="22">
        <f t="shared" si="58"/>
        <v>0.64671503277030806</v>
      </c>
      <c r="P182" s="22">
        <f t="shared" si="45"/>
        <v>5.6467308634686415E-2</v>
      </c>
      <c r="Q182">
        <v>21.9</v>
      </c>
      <c r="R182">
        <v>21.8</v>
      </c>
      <c r="S182">
        <v>20.399999999999999</v>
      </c>
      <c r="T182" s="1">
        <v>9</v>
      </c>
      <c r="U182" s="1">
        <v>0</v>
      </c>
      <c r="V182">
        <v>2447</v>
      </c>
      <c r="W182">
        <v>20</v>
      </c>
      <c r="X182">
        <v>1.02</v>
      </c>
      <c r="Y182">
        <v>47</v>
      </c>
      <c r="Z182" s="28">
        <f t="shared" si="47"/>
        <v>0</v>
      </c>
      <c r="AA182" s="28">
        <f t="shared" si="48"/>
        <v>0.2</v>
      </c>
      <c r="AB182" s="28">
        <f t="shared" si="49"/>
        <v>0</v>
      </c>
      <c r="AC182" s="28">
        <f t="shared" si="50"/>
        <v>1.55</v>
      </c>
      <c r="AD182" s="28">
        <f t="shared" si="51"/>
        <v>0</v>
      </c>
      <c r="AE182">
        <f t="shared" si="40"/>
        <v>0</v>
      </c>
      <c r="AF182">
        <f t="shared" si="41"/>
        <v>8.5106382978723402E-2</v>
      </c>
      <c r="AG182">
        <f t="shared" si="42"/>
        <v>0</v>
      </c>
      <c r="AH182">
        <f t="shared" si="43"/>
        <v>0.65957446808510634</v>
      </c>
      <c r="AI182">
        <f t="shared" si="44"/>
        <v>0</v>
      </c>
      <c r="AJ182">
        <v>0</v>
      </c>
      <c r="AK182">
        <v>4</v>
      </c>
      <c r="AL182">
        <v>0</v>
      </c>
      <c r="AM182">
        <v>31</v>
      </c>
      <c r="AN182">
        <v>0</v>
      </c>
      <c r="AO182" s="22">
        <f t="shared" si="52"/>
        <v>0</v>
      </c>
      <c r="AP182" s="22">
        <f t="shared" si="53"/>
        <v>1.6094379124341003</v>
      </c>
      <c r="AQ182" s="22">
        <f t="shared" si="54"/>
        <v>0</v>
      </c>
      <c r="AR182" s="22">
        <f t="shared" si="55"/>
        <v>3.4657359027997265</v>
      </c>
      <c r="AS182" s="22">
        <f t="shared" si="56"/>
        <v>0</v>
      </c>
    </row>
    <row r="183" spans="1:45" x14ac:dyDescent="0.25">
      <c r="A183" t="s">
        <v>10</v>
      </c>
      <c r="B183" s="2">
        <v>41466</v>
      </c>
      <c r="C183">
        <v>192</v>
      </c>
      <c r="D183">
        <v>2013</v>
      </c>
      <c r="E183">
        <v>3005</v>
      </c>
      <c r="F183">
        <v>57600</v>
      </c>
      <c r="G183" s="44">
        <f t="shared" si="46"/>
        <v>0</v>
      </c>
      <c r="H183" s="13">
        <v>42.213333333333331</v>
      </c>
      <c r="I183" s="6">
        <v>-81.80383333333333</v>
      </c>
      <c r="J183">
        <v>42.261233333333337</v>
      </c>
      <c r="K183">
        <v>-81.829883333333328</v>
      </c>
      <c r="L183">
        <v>41.621000000000002</v>
      </c>
      <c r="M183">
        <v>-81.539483333333337</v>
      </c>
      <c r="N183" s="22">
        <f t="shared" si="57"/>
        <v>5.4525338146594084E-2</v>
      </c>
      <c r="O183" s="22">
        <f t="shared" si="58"/>
        <v>0.64864450994190104</v>
      </c>
      <c r="P183" s="22">
        <f t="shared" si="45"/>
        <v>5.4525338146594084E-2</v>
      </c>
      <c r="Q183">
        <v>22</v>
      </c>
      <c r="R183">
        <v>12.5</v>
      </c>
      <c r="S183">
        <v>20.3</v>
      </c>
      <c r="T183" s="21">
        <v>15</v>
      </c>
      <c r="U183" s="21">
        <v>0</v>
      </c>
      <c r="V183">
        <v>2530</v>
      </c>
      <c r="W183">
        <v>20</v>
      </c>
      <c r="X183">
        <v>1.05</v>
      </c>
      <c r="Y183">
        <v>14</v>
      </c>
      <c r="Z183" s="28">
        <f t="shared" si="47"/>
        <v>0</v>
      </c>
      <c r="AA183" s="28">
        <f t="shared" si="48"/>
        <v>0.3</v>
      </c>
      <c r="AB183" s="28">
        <f t="shared" si="49"/>
        <v>0</v>
      </c>
      <c r="AC183" s="28">
        <f t="shared" si="50"/>
        <v>0.05</v>
      </c>
      <c r="AD183" s="28">
        <f t="shared" si="51"/>
        <v>0.3</v>
      </c>
      <c r="AE183">
        <f t="shared" ref="AE183:AE246" si="59">AJ183/$Y183</f>
        <v>0</v>
      </c>
      <c r="AF183">
        <f t="shared" ref="AF183:AF246" si="60">AK183/$Y183</f>
        <v>0.42857142857142855</v>
      </c>
      <c r="AG183">
        <f t="shared" ref="AG183:AG246" si="61">AL183/$Y183</f>
        <v>0</v>
      </c>
      <c r="AH183">
        <f t="shared" ref="AH183:AH246" si="62">AM183/$Y183</f>
        <v>7.1428571428571425E-2</v>
      </c>
      <c r="AI183">
        <f t="shared" ref="AI183:AI246" si="63">AN183/$Y183</f>
        <v>0.42857142857142855</v>
      </c>
      <c r="AJ183">
        <v>0</v>
      </c>
      <c r="AK183">
        <v>6</v>
      </c>
      <c r="AL183">
        <v>0</v>
      </c>
      <c r="AM183">
        <v>1</v>
      </c>
      <c r="AN183">
        <v>6</v>
      </c>
      <c r="AO183" s="22">
        <f t="shared" si="52"/>
        <v>0</v>
      </c>
      <c r="AP183" s="22">
        <f t="shared" si="53"/>
        <v>1.9459101490553132</v>
      </c>
      <c r="AQ183" s="22">
        <f t="shared" si="54"/>
        <v>0</v>
      </c>
      <c r="AR183" s="22">
        <f t="shared" si="55"/>
        <v>0.69314718055994529</v>
      </c>
      <c r="AS183" s="22">
        <f t="shared" si="56"/>
        <v>1.9459101490553132</v>
      </c>
    </row>
    <row r="184" spans="1:45" x14ac:dyDescent="0.25">
      <c r="A184" t="s">
        <v>10</v>
      </c>
      <c r="B184" s="2">
        <v>41466</v>
      </c>
      <c r="C184">
        <v>192</v>
      </c>
      <c r="D184">
        <v>2013</v>
      </c>
      <c r="E184">
        <v>3006</v>
      </c>
      <c r="F184">
        <v>57600</v>
      </c>
      <c r="G184" s="44">
        <f t="shared" si="46"/>
        <v>0</v>
      </c>
      <c r="H184" s="16">
        <v>42.073500000000003</v>
      </c>
      <c r="I184" s="17">
        <v>-81.751666666666679</v>
      </c>
      <c r="J184">
        <v>42.261233333333337</v>
      </c>
      <c r="K184">
        <v>-81.829883333333328</v>
      </c>
      <c r="L184">
        <v>41.621000000000002</v>
      </c>
      <c r="M184">
        <v>-81.539483333333337</v>
      </c>
      <c r="N184" s="22">
        <f t="shared" si="57"/>
        <v>0.20337564109028955</v>
      </c>
      <c r="O184" s="22">
        <f t="shared" si="58"/>
        <v>0.49977796764608279</v>
      </c>
      <c r="P184" s="22">
        <f t="shared" si="45"/>
        <v>0.20337564109028955</v>
      </c>
      <c r="Q184">
        <v>21.6</v>
      </c>
      <c r="R184">
        <v>11</v>
      </c>
      <c r="S184">
        <v>23.9</v>
      </c>
      <c r="T184" s="1">
        <v>18</v>
      </c>
      <c r="U184" s="47">
        <v>1</v>
      </c>
      <c r="V184">
        <v>2711</v>
      </c>
      <c r="W184">
        <v>20</v>
      </c>
      <c r="X184">
        <v>1.02</v>
      </c>
      <c r="Y184">
        <v>56</v>
      </c>
      <c r="Z184" s="28">
        <f t="shared" si="47"/>
        <v>0</v>
      </c>
      <c r="AA184" s="28">
        <f t="shared" si="48"/>
        <v>1.4</v>
      </c>
      <c r="AB184" s="28">
        <f t="shared" si="49"/>
        <v>1</v>
      </c>
      <c r="AC184" s="28">
        <f t="shared" si="50"/>
        <v>0.15</v>
      </c>
      <c r="AD184" s="28">
        <f t="shared" si="51"/>
        <v>0.25</v>
      </c>
      <c r="AE184">
        <f t="shared" si="59"/>
        <v>0</v>
      </c>
      <c r="AF184">
        <f t="shared" si="60"/>
        <v>0.5</v>
      </c>
      <c r="AG184">
        <f t="shared" si="61"/>
        <v>0.35714285714285715</v>
      </c>
      <c r="AH184">
        <f t="shared" si="62"/>
        <v>5.3571428571428568E-2</v>
      </c>
      <c r="AI184">
        <f t="shared" si="63"/>
        <v>8.9285714285714288E-2</v>
      </c>
      <c r="AJ184">
        <v>0</v>
      </c>
      <c r="AK184">
        <v>28</v>
      </c>
      <c r="AL184">
        <v>20</v>
      </c>
      <c r="AM184">
        <v>3</v>
      </c>
      <c r="AN184">
        <v>5</v>
      </c>
      <c r="AO184" s="22">
        <f t="shared" si="52"/>
        <v>0</v>
      </c>
      <c r="AP184" s="22">
        <f t="shared" si="53"/>
        <v>3.3672958299864741</v>
      </c>
      <c r="AQ184" s="22">
        <f t="shared" si="54"/>
        <v>3.044522437723423</v>
      </c>
      <c r="AR184" s="22">
        <f t="shared" si="55"/>
        <v>1.3862943611198906</v>
      </c>
      <c r="AS184" s="22">
        <f t="shared" si="56"/>
        <v>1.791759469228055</v>
      </c>
    </row>
    <row r="185" spans="1:45" x14ac:dyDescent="0.25">
      <c r="A185" t="s">
        <v>10</v>
      </c>
      <c r="B185" s="2">
        <v>41466</v>
      </c>
      <c r="C185">
        <v>192</v>
      </c>
      <c r="D185">
        <v>2013</v>
      </c>
      <c r="E185">
        <v>3007</v>
      </c>
      <c r="F185">
        <v>57600</v>
      </c>
      <c r="G185" s="44">
        <f t="shared" si="46"/>
        <v>0</v>
      </c>
      <c r="H185" s="18">
        <v>42.085333333333338</v>
      </c>
      <c r="I185" s="6">
        <v>-81.742333333333349</v>
      </c>
      <c r="J185">
        <v>42.261233333333337</v>
      </c>
      <c r="K185">
        <v>-81.829883333333328</v>
      </c>
      <c r="L185">
        <v>41.621000000000002</v>
      </c>
      <c r="M185">
        <v>-81.539483333333337</v>
      </c>
      <c r="N185" s="22">
        <f t="shared" si="57"/>
        <v>0.19648361891006544</v>
      </c>
      <c r="O185" s="22">
        <f t="shared" si="58"/>
        <v>0.50670856213848581</v>
      </c>
      <c r="P185" s="22">
        <f t="shared" si="45"/>
        <v>0.19648361891006544</v>
      </c>
      <c r="Q185">
        <v>21.6</v>
      </c>
      <c r="R185">
        <v>20.7</v>
      </c>
      <c r="S185">
        <v>24.1</v>
      </c>
      <c r="T185" s="1">
        <v>16</v>
      </c>
      <c r="U185" s="1">
        <v>1</v>
      </c>
      <c r="V185">
        <v>2759</v>
      </c>
      <c r="W185">
        <v>20</v>
      </c>
      <c r="X185">
        <v>1</v>
      </c>
      <c r="Y185">
        <v>322</v>
      </c>
      <c r="Z185" s="28">
        <f t="shared" si="47"/>
        <v>0</v>
      </c>
      <c r="AA185" s="28">
        <f t="shared" si="48"/>
        <v>14.55</v>
      </c>
      <c r="AB185" s="28">
        <f t="shared" si="49"/>
        <v>0.05</v>
      </c>
      <c r="AC185" s="28">
        <f t="shared" si="50"/>
        <v>0.2</v>
      </c>
      <c r="AD185" s="28">
        <f t="shared" si="51"/>
        <v>1.3</v>
      </c>
      <c r="AE185">
        <f t="shared" si="59"/>
        <v>0</v>
      </c>
      <c r="AF185">
        <f t="shared" si="60"/>
        <v>0.90372670807453415</v>
      </c>
      <c r="AG185">
        <f t="shared" si="61"/>
        <v>3.105590062111801E-3</v>
      </c>
      <c r="AH185">
        <f t="shared" si="62"/>
        <v>1.2422360248447204E-2</v>
      </c>
      <c r="AI185">
        <f t="shared" si="63"/>
        <v>8.0745341614906832E-2</v>
      </c>
      <c r="AJ185">
        <v>0</v>
      </c>
      <c r="AK185">
        <v>291</v>
      </c>
      <c r="AL185">
        <v>1</v>
      </c>
      <c r="AM185">
        <v>4</v>
      </c>
      <c r="AN185">
        <v>26</v>
      </c>
      <c r="AO185" s="22">
        <f t="shared" si="52"/>
        <v>0</v>
      </c>
      <c r="AP185" s="22">
        <f t="shared" si="53"/>
        <v>5.6767538022682817</v>
      </c>
      <c r="AQ185" s="22">
        <f t="shared" si="54"/>
        <v>0.69314718055994529</v>
      </c>
      <c r="AR185" s="22">
        <f t="shared" si="55"/>
        <v>1.6094379124341003</v>
      </c>
      <c r="AS185" s="22">
        <f t="shared" si="56"/>
        <v>3.2958368660043291</v>
      </c>
    </row>
    <row r="186" spans="1:45" x14ac:dyDescent="0.25">
      <c r="A186" t="s">
        <v>10</v>
      </c>
      <c r="B186" s="2">
        <v>41466</v>
      </c>
      <c r="C186">
        <v>192</v>
      </c>
      <c r="D186">
        <v>2013</v>
      </c>
      <c r="E186">
        <v>3008</v>
      </c>
      <c r="F186">
        <v>57600</v>
      </c>
      <c r="G186" s="44">
        <f t="shared" si="46"/>
        <v>0</v>
      </c>
      <c r="H186" s="18">
        <v>42.086333333333336</v>
      </c>
      <c r="I186" s="6">
        <v>-81.729166666666671</v>
      </c>
      <c r="J186">
        <v>42.261233333333337</v>
      </c>
      <c r="K186">
        <v>-81.829883333333328</v>
      </c>
      <c r="L186">
        <v>41.621000000000002</v>
      </c>
      <c r="M186">
        <v>-81.539483333333337</v>
      </c>
      <c r="N186" s="22">
        <f t="shared" si="57"/>
        <v>0.20182630389630263</v>
      </c>
      <c r="O186" s="22">
        <f t="shared" si="58"/>
        <v>0.50250858505657026</v>
      </c>
      <c r="P186" s="22">
        <f t="shared" si="45"/>
        <v>0.20182630389630263</v>
      </c>
      <c r="Q186">
        <v>21.6</v>
      </c>
      <c r="R186">
        <v>21.6</v>
      </c>
      <c r="S186">
        <v>24.1</v>
      </c>
      <c r="T186" s="1">
        <v>13</v>
      </c>
      <c r="U186" s="1">
        <v>0</v>
      </c>
      <c r="V186">
        <v>2845</v>
      </c>
      <c r="W186">
        <v>20</v>
      </c>
      <c r="X186">
        <v>0.95</v>
      </c>
      <c r="Y186">
        <v>163</v>
      </c>
      <c r="Z186" s="28">
        <f t="shared" si="47"/>
        <v>0</v>
      </c>
      <c r="AA186" s="28">
        <f t="shared" si="48"/>
        <v>6.8</v>
      </c>
      <c r="AB186" s="28">
        <f t="shared" si="49"/>
        <v>0</v>
      </c>
      <c r="AC186" s="28">
        <f t="shared" si="50"/>
        <v>0.05</v>
      </c>
      <c r="AD186" s="28">
        <f t="shared" si="51"/>
        <v>1.25</v>
      </c>
      <c r="AE186">
        <f t="shared" si="59"/>
        <v>0</v>
      </c>
      <c r="AF186">
        <f t="shared" si="60"/>
        <v>0.83435582822085885</v>
      </c>
      <c r="AG186">
        <f t="shared" si="61"/>
        <v>0</v>
      </c>
      <c r="AH186">
        <f t="shared" si="62"/>
        <v>6.1349693251533744E-3</v>
      </c>
      <c r="AI186">
        <f t="shared" si="63"/>
        <v>0.15337423312883436</v>
      </c>
      <c r="AJ186">
        <v>0</v>
      </c>
      <c r="AK186">
        <v>136</v>
      </c>
      <c r="AL186">
        <v>0</v>
      </c>
      <c r="AM186">
        <v>1</v>
      </c>
      <c r="AN186">
        <v>25</v>
      </c>
      <c r="AO186" s="22">
        <f t="shared" si="52"/>
        <v>0</v>
      </c>
      <c r="AP186" s="22">
        <f t="shared" si="53"/>
        <v>4.9199809258281251</v>
      </c>
      <c r="AQ186" s="22">
        <f t="shared" si="54"/>
        <v>0</v>
      </c>
      <c r="AR186" s="22">
        <f t="shared" si="55"/>
        <v>0.69314718055994529</v>
      </c>
      <c r="AS186" s="22">
        <f t="shared" si="56"/>
        <v>3.2580965380214821</v>
      </c>
    </row>
    <row r="187" spans="1:45" x14ac:dyDescent="0.25">
      <c r="A187" t="s">
        <v>10</v>
      </c>
      <c r="B187" s="2">
        <v>41470</v>
      </c>
      <c r="C187">
        <v>196</v>
      </c>
      <c r="D187">
        <v>2013</v>
      </c>
      <c r="E187">
        <v>4001</v>
      </c>
      <c r="F187">
        <v>57350</v>
      </c>
      <c r="G187" s="44">
        <f t="shared" si="46"/>
        <v>0</v>
      </c>
      <c r="H187" s="18">
        <v>41.900499999999994</v>
      </c>
      <c r="I187" s="6">
        <v>-82.146333333333331</v>
      </c>
      <c r="J187">
        <v>42.1434</v>
      </c>
      <c r="K187">
        <v>-82.285266666666672</v>
      </c>
      <c r="L187">
        <v>41.52558333333333</v>
      </c>
      <c r="M187">
        <v>-81.97645</v>
      </c>
      <c r="N187" s="22">
        <f t="shared" si="57"/>
        <v>0.27982651967087774</v>
      </c>
      <c r="O187" s="22">
        <f t="shared" si="58"/>
        <v>0.41161007505755498</v>
      </c>
      <c r="P187" s="22">
        <f t="shared" si="45"/>
        <v>0.27982651967087774</v>
      </c>
      <c r="Q187">
        <v>26.3</v>
      </c>
      <c r="R187">
        <v>13.1</v>
      </c>
      <c r="S187">
        <v>21</v>
      </c>
      <c r="T187" s="1">
        <v>18</v>
      </c>
      <c r="U187" s="47">
        <v>1</v>
      </c>
      <c r="V187">
        <v>2138</v>
      </c>
      <c r="W187">
        <v>20</v>
      </c>
      <c r="X187">
        <v>1.03</v>
      </c>
      <c r="Y187">
        <v>10</v>
      </c>
      <c r="Z187" s="28">
        <f t="shared" si="47"/>
        <v>0</v>
      </c>
      <c r="AA187" s="28">
        <f t="shared" si="48"/>
        <v>0.2</v>
      </c>
      <c r="AB187" s="28">
        <f t="shared" si="49"/>
        <v>0.15</v>
      </c>
      <c r="AC187" s="28">
        <f t="shared" si="50"/>
        <v>0</v>
      </c>
      <c r="AD187" s="28">
        <f t="shared" si="51"/>
        <v>0.15</v>
      </c>
      <c r="AE187">
        <f t="shared" si="59"/>
        <v>0</v>
      </c>
      <c r="AF187">
        <f t="shared" si="60"/>
        <v>0.4</v>
      </c>
      <c r="AG187">
        <f t="shared" si="61"/>
        <v>0.3</v>
      </c>
      <c r="AH187">
        <f t="shared" si="62"/>
        <v>0</v>
      </c>
      <c r="AI187">
        <f t="shared" si="63"/>
        <v>0.3</v>
      </c>
      <c r="AJ187">
        <v>0</v>
      </c>
      <c r="AK187">
        <v>4</v>
      </c>
      <c r="AL187">
        <v>3</v>
      </c>
      <c r="AM187">
        <v>0</v>
      </c>
      <c r="AN187">
        <v>3</v>
      </c>
      <c r="AO187" s="22">
        <f t="shared" si="52"/>
        <v>0</v>
      </c>
      <c r="AP187" s="22">
        <f t="shared" si="53"/>
        <v>1.6094379124341003</v>
      </c>
      <c r="AQ187" s="22">
        <f t="shared" si="54"/>
        <v>1.3862943611198906</v>
      </c>
      <c r="AR187" s="22">
        <f t="shared" si="55"/>
        <v>0</v>
      </c>
      <c r="AS187" s="22">
        <f t="shared" si="56"/>
        <v>1.3862943611198906</v>
      </c>
    </row>
    <row r="188" spans="1:45" x14ac:dyDescent="0.25">
      <c r="A188" t="s">
        <v>10</v>
      </c>
      <c r="B188" s="2">
        <v>41470</v>
      </c>
      <c r="C188">
        <v>196</v>
      </c>
      <c r="D188">
        <v>2013</v>
      </c>
      <c r="E188">
        <v>4002</v>
      </c>
      <c r="F188">
        <v>57350</v>
      </c>
      <c r="G188" s="44">
        <f t="shared" si="46"/>
        <v>0</v>
      </c>
      <c r="H188" s="18">
        <v>41.886166666666668</v>
      </c>
      <c r="I188" s="6">
        <v>-82.138333333333335</v>
      </c>
      <c r="J188">
        <v>42.1434</v>
      </c>
      <c r="K188">
        <v>-82.285266666666672</v>
      </c>
      <c r="L188">
        <v>41.52558333333333</v>
      </c>
      <c r="M188">
        <v>-81.97645</v>
      </c>
      <c r="N188" s="22">
        <f t="shared" si="57"/>
        <v>0.2962404297563424</v>
      </c>
      <c r="O188" s="22">
        <f t="shared" si="58"/>
        <v>0.39525504916305992</v>
      </c>
      <c r="P188" s="22">
        <f t="shared" si="45"/>
        <v>0.2962404297563424</v>
      </c>
      <c r="Q188">
        <v>26.3</v>
      </c>
      <c r="R188">
        <v>13.1</v>
      </c>
      <c r="S188">
        <v>21.1</v>
      </c>
      <c r="T188" s="1">
        <v>18</v>
      </c>
      <c r="U188" s="47">
        <v>1</v>
      </c>
      <c r="V188">
        <v>2213</v>
      </c>
      <c r="W188">
        <v>20</v>
      </c>
      <c r="X188">
        <v>1.02</v>
      </c>
      <c r="Y188">
        <v>34</v>
      </c>
      <c r="Z188" s="28">
        <f t="shared" si="47"/>
        <v>0</v>
      </c>
      <c r="AA188" s="28">
        <f t="shared" si="48"/>
        <v>1</v>
      </c>
      <c r="AB188" s="28">
        <f t="shared" si="49"/>
        <v>0.05</v>
      </c>
      <c r="AC188" s="28">
        <f t="shared" si="50"/>
        <v>0.15</v>
      </c>
      <c r="AD188" s="28">
        <f t="shared" si="51"/>
        <v>0.2</v>
      </c>
      <c r="AE188">
        <f t="shared" si="59"/>
        <v>0</v>
      </c>
      <c r="AF188">
        <f t="shared" si="60"/>
        <v>0.58823529411764708</v>
      </c>
      <c r="AG188">
        <f t="shared" si="61"/>
        <v>2.9411764705882353E-2</v>
      </c>
      <c r="AH188">
        <f t="shared" si="62"/>
        <v>8.8235294117647065E-2</v>
      </c>
      <c r="AI188">
        <f t="shared" si="63"/>
        <v>0.11764705882352941</v>
      </c>
      <c r="AJ188">
        <v>0</v>
      </c>
      <c r="AK188">
        <v>20</v>
      </c>
      <c r="AL188">
        <v>1</v>
      </c>
      <c r="AM188">
        <v>3</v>
      </c>
      <c r="AN188">
        <v>4</v>
      </c>
      <c r="AO188" s="22">
        <f t="shared" si="52"/>
        <v>0</v>
      </c>
      <c r="AP188" s="22">
        <f t="shared" si="53"/>
        <v>3.044522437723423</v>
      </c>
      <c r="AQ188" s="22">
        <f t="shared" si="54"/>
        <v>0.69314718055994529</v>
      </c>
      <c r="AR188" s="22">
        <f t="shared" si="55"/>
        <v>1.3862943611198906</v>
      </c>
      <c r="AS188" s="22">
        <f t="shared" si="56"/>
        <v>1.6094379124341003</v>
      </c>
    </row>
    <row r="189" spans="1:45" x14ac:dyDescent="0.25">
      <c r="A189" t="s">
        <v>10</v>
      </c>
      <c r="B189" s="2">
        <v>41470</v>
      </c>
      <c r="C189">
        <v>196</v>
      </c>
      <c r="D189">
        <v>2013</v>
      </c>
      <c r="E189">
        <v>4003</v>
      </c>
      <c r="F189">
        <v>57350</v>
      </c>
      <c r="G189" s="44">
        <f t="shared" si="46"/>
        <v>0</v>
      </c>
      <c r="H189" s="18">
        <v>41.904500000000006</v>
      </c>
      <c r="I189" s="6">
        <v>-82.148166666666654</v>
      </c>
      <c r="J189">
        <v>42.1434</v>
      </c>
      <c r="K189">
        <v>-82.285266666666672</v>
      </c>
      <c r="L189">
        <v>41.52558333333333</v>
      </c>
      <c r="M189">
        <v>-81.97645</v>
      </c>
      <c r="N189" s="22">
        <f t="shared" si="57"/>
        <v>0.27544440455380831</v>
      </c>
      <c r="O189" s="22">
        <f t="shared" si="58"/>
        <v>0.41601016080005981</v>
      </c>
      <c r="P189" s="22">
        <f t="shared" si="45"/>
        <v>0.27544440455380831</v>
      </c>
      <c r="Q189">
        <v>26.3</v>
      </c>
      <c r="R189">
        <v>21.8</v>
      </c>
      <c r="S189">
        <v>21.1</v>
      </c>
      <c r="T189" s="1">
        <v>15</v>
      </c>
      <c r="U189" s="1">
        <v>0</v>
      </c>
      <c r="V189">
        <v>2249</v>
      </c>
      <c r="W189">
        <v>20</v>
      </c>
      <c r="X189">
        <v>0.99</v>
      </c>
      <c r="Y189">
        <v>16</v>
      </c>
      <c r="Z189" s="28">
        <f t="shared" si="47"/>
        <v>0</v>
      </c>
      <c r="AA189" s="28">
        <f t="shared" si="48"/>
        <v>0.4</v>
      </c>
      <c r="AB189" s="28">
        <f t="shared" si="49"/>
        <v>0</v>
      </c>
      <c r="AC189" s="28">
        <f t="shared" si="50"/>
        <v>0.15</v>
      </c>
      <c r="AD189" s="28">
        <f t="shared" si="51"/>
        <v>0.1</v>
      </c>
      <c r="AE189">
        <f t="shared" si="59"/>
        <v>0</v>
      </c>
      <c r="AF189">
        <f t="shared" si="60"/>
        <v>0.5</v>
      </c>
      <c r="AG189">
        <f t="shared" si="61"/>
        <v>0</v>
      </c>
      <c r="AH189">
        <f t="shared" si="62"/>
        <v>0.1875</v>
      </c>
      <c r="AI189">
        <f t="shared" si="63"/>
        <v>0.125</v>
      </c>
      <c r="AJ189">
        <v>0</v>
      </c>
      <c r="AK189">
        <v>8</v>
      </c>
      <c r="AL189">
        <v>0</v>
      </c>
      <c r="AM189">
        <v>3</v>
      </c>
      <c r="AN189">
        <v>2</v>
      </c>
      <c r="AO189" s="22">
        <f t="shared" si="52"/>
        <v>0</v>
      </c>
      <c r="AP189" s="22">
        <f t="shared" si="53"/>
        <v>2.1972245773362196</v>
      </c>
      <c r="AQ189" s="22">
        <f t="shared" si="54"/>
        <v>0</v>
      </c>
      <c r="AR189" s="22">
        <f t="shared" si="55"/>
        <v>1.3862943611198906</v>
      </c>
      <c r="AS189" s="22">
        <f t="shared" si="56"/>
        <v>1.0986122886681098</v>
      </c>
    </row>
    <row r="190" spans="1:45" x14ac:dyDescent="0.25">
      <c r="A190" t="s">
        <v>10</v>
      </c>
      <c r="B190" s="2">
        <v>41470</v>
      </c>
      <c r="C190">
        <v>196</v>
      </c>
      <c r="D190">
        <v>2013</v>
      </c>
      <c r="E190">
        <v>4004</v>
      </c>
      <c r="F190">
        <v>57350</v>
      </c>
      <c r="G190" s="44">
        <f t="shared" si="46"/>
        <v>0</v>
      </c>
      <c r="H190" s="18">
        <v>41.915666666666667</v>
      </c>
      <c r="I190" s="6">
        <v>-82.154500000000013</v>
      </c>
      <c r="J190">
        <v>42.1434</v>
      </c>
      <c r="K190">
        <v>-82.285266666666672</v>
      </c>
      <c r="L190">
        <v>41.52558333333333</v>
      </c>
      <c r="M190">
        <v>-81.97645</v>
      </c>
      <c r="N190" s="22">
        <f t="shared" si="57"/>
        <v>0.26260691579282552</v>
      </c>
      <c r="O190" s="22">
        <f t="shared" si="58"/>
        <v>0.42879693264347368</v>
      </c>
      <c r="P190" s="22">
        <f t="shared" si="45"/>
        <v>0.26260691579282552</v>
      </c>
      <c r="Q190">
        <v>26.3</v>
      </c>
      <c r="R190">
        <v>22.8</v>
      </c>
      <c r="S190">
        <v>21</v>
      </c>
      <c r="T190" s="1">
        <v>5</v>
      </c>
      <c r="U190" s="1">
        <v>0</v>
      </c>
      <c r="V190">
        <v>2324</v>
      </c>
      <c r="W190">
        <v>20</v>
      </c>
      <c r="X190">
        <v>0.98</v>
      </c>
      <c r="Y190">
        <v>127</v>
      </c>
      <c r="Z190" s="28">
        <f t="shared" si="47"/>
        <v>0</v>
      </c>
      <c r="AA190" s="28">
        <f t="shared" si="48"/>
        <v>0.6</v>
      </c>
      <c r="AB190" s="28">
        <f t="shared" si="49"/>
        <v>0</v>
      </c>
      <c r="AC190" s="28">
        <f t="shared" si="50"/>
        <v>4.7</v>
      </c>
      <c r="AD190" s="28">
        <f t="shared" si="51"/>
        <v>0</v>
      </c>
      <c r="AE190">
        <f t="shared" si="59"/>
        <v>0</v>
      </c>
      <c r="AF190">
        <f t="shared" si="60"/>
        <v>9.4488188976377951E-2</v>
      </c>
      <c r="AG190">
        <f t="shared" si="61"/>
        <v>0</v>
      </c>
      <c r="AH190">
        <f t="shared" si="62"/>
        <v>0.74015748031496065</v>
      </c>
      <c r="AI190">
        <f t="shared" si="63"/>
        <v>0</v>
      </c>
      <c r="AJ190">
        <v>0</v>
      </c>
      <c r="AK190">
        <v>12</v>
      </c>
      <c r="AL190">
        <v>0</v>
      </c>
      <c r="AM190">
        <v>94</v>
      </c>
      <c r="AN190">
        <v>0</v>
      </c>
      <c r="AO190" s="22">
        <f t="shared" si="52"/>
        <v>0</v>
      </c>
      <c r="AP190" s="22">
        <f t="shared" si="53"/>
        <v>2.5649493574615367</v>
      </c>
      <c r="AQ190" s="22">
        <f t="shared" si="54"/>
        <v>0</v>
      </c>
      <c r="AR190" s="22">
        <f t="shared" si="55"/>
        <v>4.5538768916005408</v>
      </c>
      <c r="AS190" s="22">
        <f t="shared" si="56"/>
        <v>0</v>
      </c>
    </row>
    <row r="191" spans="1:45" x14ac:dyDescent="0.25">
      <c r="A191" t="s">
        <v>10</v>
      </c>
      <c r="B191" s="2">
        <v>41470</v>
      </c>
      <c r="C191">
        <v>196</v>
      </c>
      <c r="D191">
        <v>2013</v>
      </c>
      <c r="E191">
        <v>4005</v>
      </c>
      <c r="F191">
        <v>57350</v>
      </c>
      <c r="G191" s="44">
        <f t="shared" si="46"/>
        <v>0</v>
      </c>
      <c r="H191" s="18">
        <v>42.028666666666673</v>
      </c>
      <c r="I191" s="6">
        <v>-82.210499999999982</v>
      </c>
      <c r="J191">
        <v>42.1434</v>
      </c>
      <c r="K191">
        <v>-82.285266666666672</v>
      </c>
      <c r="L191">
        <v>41.52558333333333</v>
      </c>
      <c r="M191">
        <v>-81.97645</v>
      </c>
      <c r="N191" s="22">
        <f t="shared" si="57"/>
        <v>0.13694448591390659</v>
      </c>
      <c r="O191" s="22">
        <f t="shared" si="58"/>
        <v>0.55486236381446841</v>
      </c>
      <c r="P191" s="22">
        <f t="shared" si="45"/>
        <v>0.13694448591390659</v>
      </c>
      <c r="Q191">
        <v>25.5</v>
      </c>
      <c r="R191">
        <v>11.9</v>
      </c>
      <c r="S191">
        <v>20.8</v>
      </c>
      <c r="T191" s="1">
        <v>18</v>
      </c>
      <c r="U191" s="47">
        <v>1</v>
      </c>
      <c r="V191">
        <v>2455</v>
      </c>
      <c r="W191">
        <v>20</v>
      </c>
      <c r="X191">
        <v>0.98</v>
      </c>
      <c r="Y191">
        <v>152</v>
      </c>
      <c r="Z191" s="28">
        <f t="shared" si="47"/>
        <v>0</v>
      </c>
      <c r="AA191" s="28">
        <f t="shared" si="48"/>
        <v>3.4</v>
      </c>
      <c r="AB191" s="28">
        <f t="shared" si="49"/>
        <v>2.15</v>
      </c>
      <c r="AC191" s="28">
        <f t="shared" si="50"/>
        <v>0.1</v>
      </c>
      <c r="AD191" s="28">
        <f t="shared" si="51"/>
        <v>1.05</v>
      </c>
      <c r="AE191">
        <f t="shared" si="59"/>
        <v>0</v>
      </c>
      <c r="AF191">
        <f t="shared" si="60"/>
        <v>0.44736842105263158</v>
      </c>
      <c r="AG191">
        <f t="shared" si="61"/>
        <v>0.28289473684210525</v>
      </c>
      <c r="AH191">
        <f t="shared" si="62"/>
        <v>1.3157894736842105E-2</v>
      </c>
      <c r="AI191">
        <f t="shared" si="63"/>
        <v>0.13815789473684212</v>
      </c>
      <c r="AJ191">
        <v>0</v>
      </c>
      <c r="AK191">
        <v>68</v>
      </c>
      <c r="AL191">
        <v>43</v>
      </c>
      <c r="AM191">
        <v>2</v>
      </c>
      <c r="AN191">
        <v>21</v>
      </c>
      <c r="AO191" s="22">
        <f t="shared" si="52"/>
        <v>0</v>
      </c>
      <c r="AP191" s="22">
        <f t="shared" si="53"/>
        <v>4.2341065045972597</v>
      </c>
      <c r="AQ191" s="22">
        <f t="shared" si="54"/>
        <v>3.784189633918261</v>
      </c>
      <c r="AR191" s="22">
        <f t="shared" si="55"/>
        <v>1.0986122886681098</v>
      </c>
      <c r="AS191" s="22">
        <f t="shared" si="56"/>
        <v>3.0910424533583161</v>
      </c>
    </row>
    <row r="192" spans="1:45" x14ac:dyDescent="0.25">
      <c r="A192" t="s">
        <v>10</v>
      </c>
      <c r="B192" s="2">
        <v>41470</v>
      </c>
      <c r="C192">
        <v>196</v>
      </c>
      <c r="D192">
        <v>2013</v>
      </c>
      <c r="E192">
        <v>4006</v>
      </c>
      <c r="F192">
        <v>57350</v>
      </c>
      <c r="G192" s="44">
        <f t="shared" si="46"/>
        <v>0</v>
      </c>
      <c r="H192" s="18">
        <v>42.013333333333335</v>
      </c>
      <c r="I192" s="6">
        <v>-82.199666666666658</v>
      </c>
      <c r="J192">
        <v>42.1434</v>
      </c>
      <c r="K192">
        <v>-82.285266666666672</v>
      </c>
      <c r="L192">
        <v>41.52558333333333</v>
      </c>
      <c r="M192">
        <v>-81.97645</v>
      </c>
      <c r="N192" s="22">
        <f t="shared" si="57"/>
        <v>0.15570708968373762</v>
      </c>
      <c r="O192" s="22">
        <f t="shared" si="58"/>
        <v>0.5364007296581349</v>
      </c>
      <c r="P192" s="22">
        <f t="shared" si="45"/>
        <v>0.15570708968373762</v>
      </c>
      <c r="Q192">
        <v>25.5</v>
      </c>
      <c r="R192">
        <v>20.9</v>
      </c>
      <c r="S192">
        <v>20.8</v>
      </c>
      <c r="T192" s="1">
        <v>15</v>
      </c>
      <c r="U192" s="1">
        <v>0</v>
      </c>
      <c r="V192">
        <v>2536</v>
      </c>
      <c r="W192">
        <v>20</v>
      </c>
      <c r="X192">
        <v>0.96</v>
      </c>
      <c r="Y192">
        <v>86</v>
      </c>
      <c r="Z192" s="28">
        <f t="shared" si="47"/>
        <v>0</v>
      </c>
      <c r="AA192" s="28">
        <f t="shared" si="48"/>
        <v>2.1</v>
      </c>
      <c r="AB192" s="28">
        <f t="shared" si="49"/>
        <v>0.05</v>
      </c>
      <c r="AC192" s="28">
        <f t="shared" si="50"/>
        <v>0.1</v>
      </c>
      <c r="AD192" s="28">
        <f t="shared" si="51"/>
        <v>1.7</v>
      </c>
      <c r="AE192">
        <f t="shared" si="59"/>
        <v>0</v>
      </c>
      <c r="AF192">
        <f t="shared" si="60"/>
        <v>0.48837209302325579</v>
      </c>
      <c r="AG192">
        <f t="shared" si="61"/>
        <v>1.1627906976744186E-2</v>
      </c>
      <c r="AH192">
        <f t="shared" si="62"/>
        <v>2.3255813953488372E-2</v>
      </c>
      <c r="AI192">
        <f t="shared" si="63"/>
        <v>0.39534883720930231</v>
      </c>
      <c r="AJ192">
        <v>0</v>
      </c>
      <c r="AK192">
        <v>42</v>
      </c>
      <c r="AL192">
        <v>1</v>
      </c>
      <c r="AM192">
        <v>2</v>
      </c>
      <c r="AN192">
        <v>34</v>
      </c>
      <c r="AO192" s="22">
        <f t="shared" si="52"/>
        <v>0</v>
      </c>
      <c r="AP192" s="22">
        <f t="shared" si="53"/>
        <v>3.7612001156935624</v>
      </c>
      <c r="AQ192" s="22">
        <f t="shared" si="54"/>
        <v>0.69314718055994529</v>
      </c>
      <c r="AR192" s="22">
        <f t="shared" si="55"/>
        <v>1.0986122886681098</v>
      </c>
      <c r="AS192" s="22">
        <f t="shared" si="56"/>
        <v>3.5553480614894135</v>
      </c>
    </row>
    <row r="193" spans="1:45" x14ac:dyDescent="0.25">
      <c r="A193" t="s">
        <v>10</v>
      </c>
      <c r="B193" s="2">
        <v>41470</v>
      </c>
      <c r="C193">
        <v>196</v>
      </c>
      <c r="D193">
        <v>2013</v>
      </c>
      <c r="E193">
        <v>4007</v>
      </c>
      <c r="F193">
        <v>57350</v>
      </c>
      <c r="G193" s="44">
        <f t="shared" si="46"/>
        <v>0</v>
      </c>
      <c r="H193" s="18">
        <v>42.035666666666664</v>
      </c>
      <c r="I193" s="6">
        <v>-82.207333333333352</v>
      </c>
      <c r="J193">
        <v>42.1434</v>
      </c>
      <c r="K193">
        <v>-82.285266666666672</v>
      </c>
      <c r="L193">
        <v>41.52558333333333</v>
      </c>
      <c r="M193">
        <v>-81.97645</v>
      </c>
      <c r="N193" s="22">
        <f t="shared" si="57"/>
        <v>0.13296644522417661</v>
      </c>
      <c r="O193" s="22">
        <f t="shared" si="58"/>
        <v>0.55990367078236336</v>
      </c>
      <c r="P193" s="22">
        <f t="shared" si="45"/>
        <v>0.13296644522417661</v>
      </c>
      <c r="Q193">
        <v>25.5</v>
      </c>
      <c r="R193">
        <v>23.4</v>
      </c>
      <c r="S193">
        <v>20.8</v>
      </c>
      <c r="T193" s="1">
        <v>5</v>
      </c>
      <c r="U193" s="1">
        <v>0</v>
      </c>
      <c r="V193">
        <v>2607</v>
      </c>
      <c r="W193">
        <v>20</v>
      </c>
      <c r="X193">
        <v>0.98</v>
      </c>
      <c r="Y193">
        <v>43</v>
      </c>
      <c r="Z193" s="28">
        <f t="shared" si="47"/>
        <v>0</v>
      </c>
      <c r="AA193" s="28">
        <f t="shared" si="48"/>
        <v>0.05</v>
      </c>
      <c r="AB193" s="28">
        <f t="shared" si="49"/>
        <v>0</v>
      </c>
      <c r="AC193" s="28">
        <f t="shared" si="50"/>
        <v>1.75</v>
      </c>
      <c r="AD193" s="28">
        <f t="shared" si="51"/>
        <v>0.15</v>
      </c>
      <c r="AE193">
        <f t="shared" si="59"/>
        <v>0</v>
      </c>
      <c r="AF193">
        <f t="shared" si="60"/>
        <v>2.3255813953488372E-2</v>
      </c>
      <c r="AG193">
        <f t="shared" si="61"/>
        <v>0</v>
      </c>
      <c r="AH193">
        <f t="shared" si="62"/>
        <v>0.81395348837209303</v>
      </c>
      <c r="AI193">
        <f t="shared" si="63"/>
        <v>6.9767441860465115E-2</v>
      </c>
      <c r="AJ193">
        <v>0</v>
      </c>
      <c r="AK193">
        <v>1</v>
      </c>
      <c r="AL193">
        <v>0</v>
      </c>
      <c r="AM193">
        <v>35</v>
      </c>
      <c r="AN193">
        <v>3</v>
      </c>
      <c r="AO193" s="22">
        <f t="shared" si="52"/>
        <v>0</v>
      </c>
      <c r="AP193" s="22">
        <f t="shared" si="53"/>
        <v>0.69314718055994529</v>
      </c>
      <c r="AQ193" s="22">
        <f t="shared" si="54"/>
        <v>0</v>
      </c>
      <c r="AR193" s="22">
        <f t="shared" si="55"/>
        <v>3.5835189384561099</v>
      </c>
      <c r="AS193" s="22">
        <f t="shared" si="56"/>
        <v>1.3862943611198906</v>
      </c>
    </row>
    <row r="194" spans="1:45" x14ac:dyDescent="0.25">
      <c r="A194" t="s">
        <v>10</v>
      </c>
      <c r="B194" s="2">
        <v>41470</v>
      </c>
      <c r="C194">
        <v>196</v>
      </c>
      <c r="D194">
        <v>2013</v>
      </c>
      <c r="E194">
        <v>4008</v>
      </c>
      <c r="F194">
        <v>57350</v>
      </c>
      <c r="G194" s="44">
        <f t="shared" si="46"/>
        <v>0</v>
      </c>
      <c r="H194" s="18">
        <v>42.150166666666664</v>
      </c>
      <c r="I194" s="6">
        <v>-82.263666666666651</v>
      </c>
      <c r="J194">
        <v>42.1434</v>
      </c>
      <c r="K194">
        <v>-82.285266666666672</v>
      </c>
      <c r="L194">
        <v>41.52558333333333</v>
      </c>
      <c r="M194">
        <v>-81.97645</v>
      </c>
      <c r="N194" s="22">
        <f t="shared" si="57"/>
        <v>2.2635100569218497E-2</v>
      </c>
      <c r="O194" s="22">
        <f t="shared" si="58"/>
        <v>0.68745745605737718</v>
      </c>
      <c r="P194" s="22">
        <f t="shared" si="45"/>
        <v>2.2635100569218497E-2</v>
      </c>
      <c r="Q194">
        <v>25.6</v>
      </c>
      <c r="R194">
        <v>23</v>
      </c>
      <c r="S194">
        <v>12.6</v>
      </c>
      <c r="T194" s="1">
        <v>10</v>
      </c>
      <c r="U194" s="1">
        <v>0</v>
      </c>
      <c r="V194">
        <v>2725</v>
      </c>
      <c r="W194">
        <v>20</v>
      </c>
      <c r="X194">
        <v>1.01</v>
      </c>
      <c r="Y194">
        <v>1242</v>
      </c>
      <c r="Z194" s="28">
        <f t="shared" si="47"/>
        <v>0</v>
      </c>
      <c r="AA194" s="28">
        <f t="shared" si="48"/>
        <v>0</v>
      </c>
      <c r="AB194" s="28">
        <f t="shared" si="49"/>
        <v>0</v>
      </c>
      <c r="AC194" s="28">
        <f t="shared" si="50"/>
        <v>60.75</v>
      </c>
      <c r="AD194" s="28">
        <f t="shared" si="51"/>
        <v>1</v>
      </c>
      <c r="AE194">
        <f t="shared" si="59"/>
        <v>0</v>
      </c>
      <c r="AF194">
        <f t="shared" si="60"/>
        <v>0</v>
      </c>
      <c r="AG194">
        <f t="shared" si="61"/>
        <v>0</v>
      </c>
      <c r="AH194">
        <f t="shared" si="62"/>
        <v>0.97826086956521741</v>
      </c>
      <c r="AI194">
        <f t="shared" si="63"/>
        <v>1.610305958132045E-2</v>
      </c>
      <c r="AJ194">
        <v>0</v>
      </c>
      <c r="AK194">
        <v>0</v>
      </c>
      <c r="AL194">
        <v>0</v>
      </c>
      <c r="AM194">
        <v>1215</v>
      </c>
      <c r="AN194">
        <v>20</v>
      </c>
      <c r="AO194" s="22">
        <f t="shared" si="52"/>
        <v>0</v>
      </c>
      <c r="AP194" s="22">
        <f t="shared" si="53"/>
        <v>0</v>
      </c>
      <c r="AQ194" s="22">
        <f t="shared" si="54"/>
        <v>0</v>
      </c>
      <c r="AR194" s="22">
        <f t="shared" si="55"/>
        <v>7.1033220625261126</v>
      </c>
      <c r="AS194" s="22">
        <f t="shared" si="56"/>
        <v>3.044522437723423</v>
      </c>
    </row>
    <row r="195" spans="1:45" x14ac:dyDescent="0.25">
      <c r="A195" t="s">
        <v>10</v>
      </c>
      <c r="B195" s="2">
        <v>41470</v>
      </c>
      <c r="C195">
        <v>196</v>
      </c>
      <c r="D195">
        <v>2013</v>
      </c>
      <c r="E195">
        <v>4009</v>
      </c>
      <c r="F195">
        <v>57350</v>
      </c>
      <c r="G195" s="44">
        <f t="shared" si="46"/>
        <v>0</v>
      </c>
      <c r="H195" s="18">
        <v>42.135000000000005</v>
      </c>
      <c r="I195" s="6">
        <v>-82.25566666666667</v>
      </c>
      <c r="J195">
        <v>42.1434</v>
      </c>
      <c r="K195">
        <v>-82.285266666666672</v>
      </c>
      <c r="L195">
        <v>41.52558333333333</v>
      </c>
      <c r="M195">
        <v>-81.97645</v>
      </c>
      <c r="N195" s="22">
        <f t="shared" si="57"/>
        <v>3.0768815381812028E-2</v>
      </c>
      <c r="O195" s="22">
        <f t="shared" si="58"/>
        <v>0.67033619964579549</v>
      </c>
      <c r="P195" s="22">
        <f t="shared" si="45"/>
        <v>3.0768815381812028E-2</v>
      </c>
      <c r="Q195">
        <v>25.6</v>
      </c>
      <c r="R195">
        <v>24</v>
      </c>
      <c r="S195">
        <v>15.5</v>
      </c>
      <c r="T195" s="1">
        <v>5</v>
      </c>
      <c r="U195" s="1">
        <v>0</v>
      </c>
      <c r="V195">
        <v>2758</v>
      </c>
      <c r="W195">
        <v>20</v>
      </c>
      <c r="X195">
        <v>0.96</v>
      </c>
      <c r="Y195">
        <v>567</v>
      </c>
      <c r="Z195" s="28">
        <f t="shared" si="47"/>
        <v>0</v>
      </c>
      <c r="AA195" s="28">
        <f t="shared" si="48"/>
        <v>0.05</v>
      </c>
      <c r="AB195" s="28">
        <f t="shared" si="49"/>
        <v>0</v>
      </c>
      <c r="AC195" s="28">
        <f t="shared" si="50"/>
        <v>25</v>
      </c>
      <c r="AD195" s="28">
        <f t="shared" si="51"/>
        <v>0.15</v>
      </c>
      <c r="AE195">
        <f t="shared" si="59"/>
        <v>0</v>
      </c>
      <c r="AF195">
        <f t="shared" si="60"/>
        <v>1.7636684303350969E-3</v>
      </c>
      <c r="AG195">
        <f t="shared" si="61"/>
        <v>0</v>
      </c>
      <c r="AH195">
        <f t="shared" si="62"/>
        <v>0.88183421516754845</v>
      </c>
      <c r="AI195">
        <f t="shared" si="63"/>
        <v>5.2910052910052907E-3</v>
      </c>
      <c r="AJ195">
        <v>0</v>
      </c>
      <c r="AK195">
        <v>1</v>
      </c>
      <c r="AL195">
        <v>0</v>
      </c>
      <c r="AM195">
        <v>500</v>
      </c>
      <c r="AN195">
        <v>3</v>
      </c>
      <c r="AO195" s="22">
        <f t="shared" si="52"/>
        <v>0</v>
      </c>
      <c r="AP195" s="22">
        <f t="shared" si="53"/>
        <v>0.69314718055994529</v>
      </c>
      <c r="AQ195" s="22">
        <f t="shared" si="54"/>
        <v>0</v>
      </c>
      <c r="AR195" s="22">
        <f t="shared" si="55"/>
        <v>6.2166061010848646</v>
      </c>
      <c r="AS195" s="22">
        <f t="shared" si="56"/>
        <v>1.3862943611198906</v>
      </c>
    </row>
    <row r="196" spans="1:45" x14ac:dyDescent="0.25">
      <c r="A196" t="s">
        <v>10</v>
      </c>
      <c r="B196" s="2">
        <v>41841</v>
      </c>
      <c r="C196">
        <v>202</v>
      </c>
      <c r="D196">
        <v>2014</v>
      </c>
      <c r="E196">
        <v>1001</v>
      </c>
      <c r="F196" s="1">
        <v>58100</v>
      </c>
      <c r="G196" s="44">
        <f t="shared" si="46"/>
        <v>1</v>
      </c>
      <c r="H196" s="18">
        <v>42.369599999999998</v>
      </c>
      <c r="I196" s="6">
        <v>-81.006399999999999</v>
      </c>
      <c r="J196">
        <v>42.632766666666669</v>
      </c>
      <c r="K196">
        <v>-81.01636666666667</v>
      </c>
      <c r="L196">
        <v>41.96221666666667</v>
      </c>
      <c r="M196">
        <v>-80.744650000000007</v>
      </c>
      <c r="N196" s="22">
        <f t="shared" si="57"/>
        <v>0.26335532819536972</v>
      </c>
      <c r="O196" s="22">
        <f t="shared" si="58"/>
        <v>0.48422540492808674</v>
      </c>
      <c r="P196" s="22">
        <f t="shared" si="45"/>
        <v>0.26335532819536972</v>
      </c>
      <c r="Q196">
        <v>22.44</v>
      </c>
      <c r="R196">
        <v>17.78</v>
      </c>
      <c r="S196">
        <v>13.5</v>
      </c>
      <c r="T196" s="1">
        <v>11</v>
      </c>
      <c r="U196" s="1">
        <v>0</v>
      </c>
      <c r="V196">
        <v>2155</v>
      </c>
      <c r="W196">
        <v>20</v>
      </c>
      <c r="X196">
        <v>1.03</v>
      </c>
      <c r="Y196">
        <v>659</v>
      </c>
      <c r="Z196" s="28">
        <f t="shared" si="47"/>
        <v>0.1</v>
      </c>
      <c r="AA196" s="28">
        <f t="shared" si="48"/>
        <v>9.0500000000000007</v>
      </c>
      <c r="AB196" s="28">
        <f t="shared" si="49"/>
        <v>3.9</v>
      </c>
      <c r="AC196" s="28">
        <f t="shared" si="50"/>
        <v>18</v>
      </c>
      <c r="AD196" s="28">
        <f t="shared" si="51"/>
        <v>0.65</v>
      </c>
      <c r="AE196">
        <f t="shared" si="59"/>
        <v>3.0349013657056147E-3</v>
      </c>
      <c r="AF196">
        <f t="shared" si="60"/>
        <v>0.27465857359635809</v>
      </c>
      <c r="AG196">
        <f t="shared" si="61"/>
        <v>0.11836115326251896</v>
      </c>
      <c r="AH196">
        <f t="shared" si="62"/>
        <v>0.54628224582701057</v>
      </c>
      <c r="AI196">
        <f t="shared" si="63"/>
        <v>1.9726858877086494E-2</v>
      </c>
      <c r="AJ196">
        <v>2</v>
      </c>
      <c r="AK196">
        <v>181</v>
      </c>
      <c r="AL196">
        <v>78</v>
      </c>
      <c r="AM196">
        <v>360</v>
      </c>
      <c r="AN196">
        <v>13</v>
      </c>
      <c r="AO196" s="22">
        <f t="shared" si="52"/>
        <v>1.0986122886681098</v>
      </c>
      <c r="AP196" s="22">
        <f t="shared" si="53"/>
        <v>5.2040066870767951</v>
      </c>
      <c r="AQ196" s="22">
        <f t="shared" si="54"/>
        <v>4.3694478524670215</v>
      </c>
      <c r="AR196" s="22">
        <f t="shared" si="55"/>
        <v>5.8888779583328805</v>
      </c>
      <c r="AS196" s="22">
        <f t="shared" si="56"/>
        <v>2.6390573296152584</v>
      </c>
    </row>
    <row r="197" spans="1:45" x14ac:dyDescent="0.25">
      <c r="A197" t="s">
        <v>10</v>
      </c>
      <c r="B197" s="2">
        <v>41841</v>
      </c>
      <c r="C197">
        <v>202</v>
      </c>
      <c r="D197">
        <v>2014</v>
      </c>
      <c r="E197">
        <v>1002</v>
      </c>
      <c r="F197" s="1">
        <v>58100</v>
      </c>
      <c r="G197" s="44">
        <f t="shared" si="46"/>
        <v>1</v>
      </c>
      <c r="H197" s="18">
        <v>42.372199999999999</v>
      </c>
      <c r="I197" s="6">
        <v>-81.007599999999996</v>
      </c>
      <c r="J197">
        <v>42.632766666666669</v>
      </c>
      <c r="K197">
        <v>-81.01636666666667</v>
      </c>
      <c r="L197">
        <v>41.96221666666667</v>
      </c>
      <c r="M197">
        <v>-80.744650000000007</v>
      </c>
      <c r="N197" s="22">
        <f t="shared" si="57"/>
        <v>0.2607141005435335</v>
      </c>
      <c r="O197" s="22">
        <f t="shared" si="58"/>
        <v>0.48706163481750669</v>
      </c>
      <c r="P197" s="22">
        <f t="shared" si="45"/>
        <v>0.2607141005435335</v>
      </c>
      <c r="Q197">
        <v>22.23</v>
      </c>
      <c r="R197">
        <v>11.36</v>
      </c>
      <c r="S197">
        <v>13.5</v>
      </c>
      <c r="T197" s="1">
        <v>12</v>
      </c>
      <c r="U197" s="1">
        <v>0</v>
      </c>
      <c r="V197">
        <v>2242</v>
      </c>
      <c r="W197">
        <v>20</v>
      </c>
      <c r="X197">
        <v>0.93</v>
      </c>
      <c r="Y197">
        <v>909</v>
      </c>
      <c r="Z197" s="28">
        <f t="shared" si="47"/>
        <v>0</v>
      </c>
      <c r="AA197" s="28">
        <f t="shared" si="48"/>
        <v>26.75</v>
      </c>
      <c r="AB197" s="28">
        <f t="shared" si="49"/>
        <v>0.1</v>
      </c>
      <c r="AC197" s="28">
        <f t="shared" si="50"/>
        <v>14.7</v>
      </c>
      <c r="AD197" s="28">
        <f t="shared" si="51"/>
        <v>2.0499999999999998</v>
      </c>
      <c r="AE197">
        <f t="shared" si="59"/>
        <v>0</v>
      </c>
      <c r="AF197">
        <f t="shared" si="60"/>
        <v>0.58855885588558854</v>
      </c>
      <c r="AG197">
        <f t="shared" si="61"/>
        <v>2.2002200220022001E-3</v>
      </c>
      <c r="AH197">
        <f t="shared" si="62"/>
        <v>0.32343234323432341</v>
      </c>
      <c r="AI197">
        <f t="shared" si="63"/>
        <v>4.5104510451045104E-2</v>
      </c>
      <c r="AJ197">
        <v>0</v>
      </c>
      <c r="AK197">
        <v>535</v>
      </c>
      <c r="AL197">
        <v>2</v>
      </c>
      <c r="AM197">
        <v>294</v>
      </c>
      <c r="AN197">
        <v>41</v>
      </c>
      <c r="AO197" s="22">
        <f t="shared" si="52"/>
        <v>0</v>
      </c>
      <c r="AP197" s="22">
        <f t="shared" si="53"/>
        <v>6.2841341610708019</v>
      </c>
      <c r="AQ197" s="22">
        <f t="shared" si="54"/>
        <v>1.0986122886681098</v>
      </c>
      <c r="AR197" s="22">
        <f t="shared" si="55"/>
        <v>5.6869753563398202</v>
      </c>
      <c r="AS197" s="22">
        <f t="shared" si="56"/>
        <v>3.7376696182833684</v>
      </c>
    </row>
    <row r="198" spans="1:45" x14ac:dyDescent="0.25">
      <c r="A198" t="s">
        <v>10</v>
      </c>
      <c r="B198" s="2">
        <v>41841</v>
      </c>
      <c r="C198">
        <v>202</v>
      </c>
      <c r="D198">
        <v>2014</v>
      </c>
      <c r="E198">
        <v>1003</v>
      </c>
      <c r="F198" s="1">
        <v>58100</v>
      </c>
      <c r="G198" s="44">
        <f t="shared" si="46"/>
        <v>1</v>
      </c>
      <c r="H198" s="18">
        <v>42.316499999999998</v>
      </c>
      <c r="I198" s="6">
        <v>-80.584599999999995</v>
      </c>
      <c r="J198">
        <v>42.632766666666669</v>
      </c>
      <c r="K198">
        <v>-81.01636666666667</v>
      </c>
      <c r="L198">
        <v>41.96221666666667</v>
      </c>
      <c r="M198">
        <v>-80.744650000000007</v>
      </c>
      <c r="N198" s="22">
        <f t="shared" si="57"/>
        <v>0.53520749143570379</v>
      </c>
      <c r="O198" s="22">
        <f t="shared" si="58"/>
        <v>0.38875787166021186</v>
      </c>
      <c r="P198" s="22">
        <f t="shared" si="45"/>
        <v>0.38875787166021186</v>
      </c>
      <c r="Q198">
        <v>22.11</v>
      </c>
      <c r="R198">
        <v>20.329999999999998</v>
      </c>
      <c r="S198">
        <v>18.5</v>
      </c>
      <c r="T198" s="1">
        <v>5</v>
      </c>
      <c r="U198" s="1">
        <v>0</v>
      </c>
      <c r="V198">
        <v>2357</v>
      </c>
      <c r="W198">
        <v>25</v>
      </c>
      <c r="X198">
        <v>0.91</v>
      </c>
      <c r="Y198">
        <v>555</v>
      </c>
      <c r="Z198" s="28">
        <f t="shared" si="47"/>
        <v>0.16</v>
      </c>
      <c r="AA198" s="28">
        <f t="shared" si="48"/>
        <v>2.3199999999999998</v>
      </c>
      <c r="AB198" s="28">
        <f t="shared" si="49"/>
        <v>0</v>
      </c>
      <c r="AC198" s="28">
        <f t="shared" si="50"/>
        <v>0.92</v>
      </c>
      <c r="AD198" s="28">
        <f t="shared" si="51"/>
        <v>16.84</v>
      </c>
      <c r="AE198">
        <f t="shared" si="59"/>
        <v>7.2072072072072073E-3</v>
      </c>
      <c r="AF198">
        <f t="shared" si="60"/>
        <v>0.10450450450450451</v>
      </c>
      <c r="AG198">
        <f t="shared" si="61"/>
        <v>0</v>
      </c>
      <c r="AH198">
        <f t="shared" si="62"/>
        <v>4.1441441441441441E-2</v>
      </c>
      <c r="AI198">
        <f t="shared" si="63"/>
        <v>0.75855855855855858</v>
      </c>
      <c r="AJ198">
        <v>4</v>
      </c>
      <c r="AK198">
        <v>58</v>
      </c>
      <c r="AL198">
        <v>0</v>
      </c>
      <c r="AM198">
        <v>23</v>
      </c>
      <c r="AN198">
        <v>421</v>
      </c>
      <c r="AO198" s="22">
        <f t="shared" si="52"/>
        <v>1.6094379124341003</v>
      </c>
      <c r="AP198" s="22">
        <f t="shared" si="53"/>
        <v>4.0775374439057197</v>
      </c>
      <c r="AQ198" s="22">
        <f t="shared" si="54"/>
        <v>0</v>
      </c>
      <c r="AR198" s="22">
        <f t="shared" si="55"/>
        <v>3.1780538303479458</v>
      </c>
      <c r="AS198" s="22">
        <f t="shared" si="56"/>
        <v>6.045005314036012</v>
      </c>
    </row>
    <row r="199" spans="1:45" x14ac:dyDescent="0.25">
      <c r="A199" t="s">
        <v>10</v>
      </c>
      <c r="B199" s="2">
        <v>41841</v>
      </c>
      <c r="C199">
        <v>202</v>
      </c>
      <c r="D199">
        <v>2014</v>
      </c>
      <c r="E199">
        <v>1004</v>
      </c>
      <c r="F199" s="1">
        <v>58100</v>
      </c>
      <c r="G199" s="44">
        <f t="shared" si="46"/>
        <v>1</v>
      </c>
      <c r="H199" s="18">
        <v>42.309100000000001</v>
      </c>
      <c r="I199" s="6">
        <v>-80.581299999999999</v>
      </c>
      <c r="J199">
        <v>42.632766666666669</v>
      </c>
      <c r="K199">
        <v>-81.01636666666667</v>
      </c>
      <c r="L199">
        <v>41.96221666666667</v>
      </c>
      <c r="M199">
        <v>-80.744650000000007</v>
      </c>
      <c r="N199" s="22">
        <f t="shared" si="57"/>
        <v>0.54225742554211298</v>
      </c>
      <c r="O199" s="22">
        <f t="shared" si="58"/>
        <v>0.38342048646941834</v>
      </c>
      <c r="P199" s="22">
        <f t="shared" si="45"/>
        <v>0.38342048646941834</v>
      </c>
      <c r="Q199">
        <v>21.98</v>
      </c>
      <c r="R199">
        <v>8.34</v>
      </c>
      <c r="S199">
        <v>18.7</v>
      </c>
      <c r="T199" s="1">
        <v>10</v>
      </c>
      <c r="U199" s="1">
        <v>0</v>
      </c>
      <c r="V199">
        <v>2428</v>
      </c>
      <c r="W199">
        <v>20</v>
      </c>
      <c r="X199">
        <v>0.96</v>
      </c>
      <c r="Y199">
        <v>751</v>
      </c>
      <c r="Z199" s="28">
        <f t="shared" si="47"/>
        <v>0.05</v>
      </c>
      <c r="AA199" s="28">
        <f t="shared" si="48"/>
        <v>21.8</v>
      </c>
      <c r="AB199" s="28">
        <f t="shared" si="49"/>
        <v>0.1</v>
      </c>
      <c r="AC199" s="28">
        <f t="shared" si="50"/>
        <v>0.25</v>
      </c>
      <c r="AD199" s="28">
        <f t="shared" si="51"/>
        <v>9.4</v>
      </c>
      <c r="AE199">
        <f t="shared" si="59"/>
        <v>1.3315579227696406E-3</v>
      </c>
      <c r="AF199">
        <f t="shared" si="60"/>
        <v>0.58055925432756328</v>
      </c>
      <c r="AG199">
        <f t="shared" si="61"/>
        <v>2.6631158455392811E-3</v>
      </c>
      <c r="AH199">
        <f t="shared" si="62"/>
        <v>6.6577896138482022E-3</v>
      </c>
      <c r="AI199">
        <f t="shared" si="63"/>
        <v>0.25033288948069243</v>
      </c>
      <c r="AJ199">
        <v>1</v>
      </c>
      <c r="AK199">
        <v>436</v>
      </c>
      <c r="AL199">
        <v>2</v>
      </c>
      <c r="AM199">
        <v>5</v>
      </c>
      <c r="AN199">
        <v>188</v>
      </c>
      <c r="AO199" s="22">
        <f t="shared" si="52"/>
        <v>0.69314718055994529</v>
      </c>
      <c r="AP199" s="22">
        <f t="shared" si="53"/>
        <v>6.0799331950955899</v>
      </c>
      <c r="AQ199" s="22">
        <f t="shared" si="54"/>
        <v>1.0986122886681098</v>
      </c>
      <c r="AR199" s="22">
        <f t="shared" si="55"/>
        <v>1.791759469228055</v>
      </c>
      <c r="AS199" s="22">
        <f t="shared" si="56"/>
        <v>5.2417470150596426</v>
      </c>
    </row>
    <row r="200" spans="1:45" x14ac:dyDescent="0.25">
      <c r="A200" t="s">
        <v>10</v>
      </c>
      <c r="B200" s="2">
        <v>41841</v>
      </c>
      <c r="C200">
        <v>202</v>
      </c>
      <c r="D200">
        <v>2014</v>
      </c>
      <c r="E200">
        <v>1005</v>
      </c>
      <c r="F200" s="1">
        <v>58100</v>
      </c>
      <c r="G200" s="44">
        <f t="shared" si="46"/>
        <v>1</v>
      </c>
      <c r="H200" s="18">
        <v>42.317900000000002</v>
      </c>
      <c r="I200" s="6">
        <v>-80.584699999999998</v>
      </c>
      <c r="J200">
        <v>42.632766666666669</v>
      </c>
      <c r="K200">
        <v>-81.01636666666667</v>
      </c>
      <c r="L200">
        <v>41.96221666666667</v>
      </c>
      <c r="M200">
        <v>-80.744650000000007</v>
      </c>
      <c r="N200" s="22">
        <f t="shared" si="57"/>
        <v>0.53430059787435547</v>
      </c>
      <c r="O200" s="22">
        <f t="shared" si="58"/>
        <v>0.38999312315874596</v>
      </c>
      <c r="P200" s="22">
        <f t="shared" si="45"/>
        <v>0.38999312315874596</v>
      </c>
      <c r="Q200">
        <v>22.14</v>
      </c>
      <c r="R200">
        <v>7.84</v>
      </c>
      <c r="S200">
        <v>18.5</v>
      </c>
      <c r="T200" s="1">
        <v>13</v>
      </c>
      <c r="U200" s="1">
        <v>0</v>
      </c>
      <c r="V200">
        <v>2507</v>
      </c>
      <c r="W200">
        <v>20</v>
      </c>
      <c r="X200">
        <v>0.93</v>
      </c>
      <c r="Y200">
        <v>391</v>
      </c>
      <c r="Z200" s="28">
        <f t="shared" si="47"/>
        <v>0</v>
      </c>
      <c r="AA200" s="28">
        <f t="shared" si="48"/>
        <v>6.3</v>
      </c>
      <c r="AB200" s="28">
        <f t="shared" si="49"/>
        <v>9.5500000000000007</v>
      </c>
      <c r="AC200" s="28">
        <f t="shared" si="50"/>
        <v>0.2</v>
      </c>
      <c r="AD200" s="28">
        <f t="shared" si="51"/>
        <v>2.6</v>
      </c>
      <c r="AE200">
        <f t="shared" si="59"/>
        <v>0</v>
      </c>
      <c r="AF200">
        <f t="shared" si="60"/>
        <v>0.32225063938618925</v>
      </c>
      <c r="AG200">
        <f t="shared" si="61"/>
        <v>0.48849104859335041</v>
      </c>
      <c r="AH200">
        <f t="shared" si="62"/>
        <v>1.0230179028132993E-2</v>
      </c>
      <c r="AI200">
        <f t="shared" si="63"/>
        <v>0.13299232736572891</v>
      </c>
      <c r="AJ200">
        <v>0</v>
      </c>
      <c r="AK200">
        <v>126</v>
      </c>
      <c r="AL200">
        <v>191</v>
      </c>
      <c r="AM200">
        <v>4</v>
      </c>
      <c r="AN200">
        <v>52</v>
      </c>
      <c r="AO200" s="22">
        <f t="shared" si="52"/>
        <v>0</v>
      </c>
      <c r="AP200" s="22">
        <f t="shared" si="53"/>
        <v>4.8441870864585912</v>
      </c>
      <c r="AQ200" s="22">
        <f t="shared" si="54"/>
        <v>5.2574953720277815</v>
      </c>
      <c r="AR200" s="22">
        <f t="shared" si="55"/>
        <v>1.6094379124341003</v>
      </c>
      <c r="AS200" s="22">
        <f t="shared" si="56"/>
        <v>3.970291913552122</v>
      </c>
    </row>
    <row r="201" spans="1:45" x14ac:dyDescent="0.25">
      <c r="A201" t="s">
        <v>10</v>
      </c>
      <c r="B201" s="2">
        <v>41841</v>
      </c>
      <c r="C201">
        <v>202</v>
      </c>
      <c r="D201">
        <v>2014</v>
      </c>
      <c r="E201">
        <v>1006</v>
      </c>
      <c r="F201" s="1">
        <v>58100</v>
      </c>
      <c r="G201" s="44">
        <f t="shared" si="46"/>
        <v>1</v>
      </c>
      <c r="H201" s="18">
        <v>42.242700000000006</v>
      </c>
      <c r="I201" s="6">
        <v>-80.554299999999998</v>
      </c>
      <c r="J201">
        <v>42.632766666666669</v>
      </c>
      <c r="K201">
        <v>-81.01636666666667</v>
      </c>
      <c r="L201">
        <v>41.96221666666667</v>
      </c>
      <c r="M201">
        <v>-80.744650000000007</v>
      </c>
      <c r="N201" s="22">
        <f t="shared" si="57"/>
        <v>0.60469629475373066</v>
      </c>
      <c r="O201" s="22">
        <f t="shared" si="58"/>
        <v>0.3389749589243769</v>
      </c>
      <c r="P201" s="22">
        <f t="shared" si="45"/>
        <v>0.3389749589243769</v>
      </c>
      <c r="Q201">
        <v>22.43</v>
      </c>
      <c r="R201">
        <v>20.28</v>
      </c>
      <c r="S201">
        <v>20.7</v>
      </c>
      <c r="T201" s="1">
        <v>5</v>
      </c>
      <c r="U201" s="1">
        <v>0</v>
      </c>
      <c r="V201">
        <v>2646</v>
      </c>
      <c r="W201">
        <v>20</v>
      </c>
      <c r="X201">
        <v>0.99</v>
      </c>
      <c r="Y201">
        <v>190</v>
      </c>
      <c r="Z201" s="28">
        <f t="shared" si="47"/>
        <v>0.05</v>
      </c>
      <c r="AA201" s="28">
        <f t="shared" si="48"/>
        <v>1.1499999999999999</v>
      </c>
      <c r="AB201" s="28">
        <f t="shared" si="49"/>
        <v>0</v>
      </c>
      <c r="AC201" s="28">
        <f t="shared" si="50"/>
        <v>0</v>
      </c>
      <c r="AD201" s="28">
        <f t="shared" si="51"/>
        <v>7.9</v>
      </c>
      <c r="AE201">
        <f t="shared" si="59"/>
        <v>5.263157894736842E-3</v>
      </c>
      <c r="AF201">
        <f t="shared" si="60"/>
        <v>0.12105263157894737</v>
      </c>
      <c r="AG201">
        <f t="shared" si="61"/>
        <v>0</v>
      </c>
      <c r="AH201">
        <f t="shared" si="62"/>
        <v>0</v>
      </c>
      <c r="AI201">
        <f t="shared" si="63"/>
        <v>0.83157894736842108</v>
      </c>
      <c r="AJ201">
        <v>1</v>
      </c>
      <c r="AK201">
        <v>23</v>
      </c>
      <c r="AL201">
        <v>0</v>
      </c>
      <c r="AM201">
        <v>0</v>
      </c>
      <c r="AN201">
        <v>158</v>
      </c>
      <c r="AO201" s="22">
        <f t="shared" si="52"/>
        <v>0.69314718055994529</v>
      </c>
      <c r="AP201" s="22">
        <f t="shared" si="53"/>
        <v>3.1780538303479458</v>
      </c>
      <c r="AQ201" s="22">
        <f t="shared" si="54"/>
        <v>0</v>
      </c>
      <c r="AR201" s="22">
        <f t="shared" si="55"/>
        <v>0</v>
      </c>
      <c r="AS201" s="22">
        <f t="shared" si="56"/>
        <v>5.0689042022202315</v>
      </c>
    </row>
    <row r="202" spans="1:45" x14ac:dyDescent="0.25">
      <c r="A202" t="s">
        <v>10</v>
      </c>
      <c r="B202" s="2">
        <v>41841</v>
      </c>
      <c r="C202">
        <v>202</v>
      </c>
      <c r="D202">
        <v>2014</v>
      </c>
      <c r="E202">
        <v>1007</v>
      </c>
      <c r="F202" s="1">
        <v>58100</v>
      </c>
      <c r="G202" s="44">
        <f t="shared" si="46"/>
        <v>1</v>
      </c>
      <c r="H202" s="18">
        <v>42.233100000000007</v>
      </c>
      <c r="I202" s="6">
        <v>-80.550699999999992</v>
      </c>
      <c r="J202">
        <v>42.632766666666669</v>
      </c>
      <c r="K202">
        <v>-81.01636666666667</v>
      </c>
      <c r="L202">
        <v>41.96221666666667</v>
      </c>
      <c r="M202">
        <v>-80.744650000000007</v>
      </c>
      <c r="N202" s="22">
        <f t="shared" si="57"/>
        <v>0.6136602389668856</v>
      </c>
      <c r="O202" s="22">
        <f t="shared" si="58"/>
        <v>0.33315819482309877</v>
      </c>
      <c r="P202" s="22">
        <f t="shared" si="45"/>
        <v>0.33315819482309877</v>
      </c>
      <c r="Q202">
        <v>22.16</v>
      </c>
      <c r="R202">
        <v>10.25</v>
      </c>
      <c r="S202">
        <v>20.6</v>
      </c>
      <c r="T202" s="1">
        <v>11</v>
      </c>
      <c r="U202" s="1">
        <v>0</v>
      </c>
      <c r="V202">
        <v>2719</v>
      </c>
      <c r="W202">
        <v>20</v>
      </c>
      <c r="X202">
        <v>0.92</v>
      </c>
      <c r="Y202">
        <v>629</v>
      </c>
      <c r="Z202" s="28">
        <f t="shared" si="47"/>
        <v>0.05</v>
      </c>
      <c r="AA202" s="28">
        <f t="shared" si="48"/>
        <v>23.3</v>
      </c>
      <c r="AB202" s="28">
        <f t="shared" si="49"/>
        <v>0.05</v>
      </c>
      <c r="AC202" s="28">
        <f t="shared" si="50"/>
        <v>0.05</v>
      </c>
      <c r="AD202" s="28">
        <f t="shared" si="51"/>
        <v>5.95</v>
      </c>
      <c r="AE202">
        <f t="shared" si="59"/>
        <v>1.589825119236884E-3</v>
      </c>
      <c r="AF202">
        <f t="shared" si="60"/>
        <v>0.74085850556438793</v>
      </c>
      <c r="AG202">
        <f t="shared" si="61"/>
        <v>1.589825119236884E-3</v>
      </c>
      <c r="AH202">
        <f t="shared" si="62"/>
        <v>1.589825119236884E-3</v>
      </c>
      <c r="AI202">
        <f t="shared" si="63"/>
        <v>0.1891891891891892</v>
      </c>
      <c r="AJ202">
        <v>1</v>
      </c>
      <c r="AK202">
        <v>466</v>
      </c>
      <c r="AL202">
        <v>1</v>
      </c>
      <c r="AM202">
        <v>1</v>
      </c>
      <c r="AN202">
        <v>119</v>
      </c>
      <c r="AO202" s="22">
        <f t="shared" si="52"/>
        <v>0.69314718055994529</v>
      </c>
      <c r="AP202" s="22">
        <f t="shared" si="53"/>
        <v>6.1463292576688975</v>
      </c>
      <c r="AQ202" s="22">
        <f t="shared" si="54"/>
        <v>0.69314718055994529</v>
      </c>
      <c r="AR202" s="22">
        <f t="shared" si="55"/>
        <v>0.69314718055994529</v>
      </c>
      <c r="AS202" s="22">
        <f t="shared" si="56"/>
        <v>4.7874917427820458</v>
      </c>
    </row>
    <row r="203" spans="1:45" x14ac:dyDescent="0.25">
      <c r="A203" t="s">
        <v>10</v>
      </c>
      <c r="B203" s="2">
        <v>41841</v>
      </c>
      <c r="C203">
        <v>202</v>
      </c>
      <c r="D203">
        <v>2014</v>
      </c>
      <c r="E203">
        <v>1008</v>
      </c>
      <c r="F203" s="1">
        <v>58100</v>
      </c>
      <c r="G203" s="44">
        <f t="shared" si="46"/>
        <v>1</v>
      </c>
      <c r="H203" s="18">
        <v>42.242600000000003</v>
      </c>
      <c r="I203" s="6">
        <v>-80.552599999999998</v>
      </c>
      <c r="J203">
        <v>42.632766666666669</v>
      </c>
      <c r="K203">
        <v>-81.01636666666667</v>
      </c>
      <c r="L203">
        <v>41.96221666666667</v>
      </c>
      <c r="M203">
        <v>-80.744650000000007</v>
      </c>
      <c r="N203" s="22">
        <f t="shared" si="57"/>
        <v>0.60606068086363496</v>
      </c>
      <c r="O203" s="22">
        <f t="shared" si="58"/>
        <v>0.33984999060043292</v>
      </c>
      <c r="P203" s="22">
        <f t="shared" si="45"/>
        <v>0.33984999060043292</v>
      </c>
      <c r="Q203">
        <v>22.23</v>
      </c>
      <c r="R203">
        <v>9.65</v>
      </c>
      <c r="S203">
        <v>20.5</v>
      </c>
      <c r="T203" s="1">
        <v>14</v>
      </c>
      <c r="U203" s="1">
        <v>0</v>
      </c>
      <c r="V203">
        <v>2757</v>
      </c>
      <c r="W203">
        <v>20</v>
      </c>
      <c r="X203">
        <v>0.98</v>
      </c>
      <c r="Y203">
        <v>127</v>
      </c>
      <c r="Z203" s="28">
        <f t="shared" si="47"/>
        <v>0</v>
      </c>
      <c r="AA203" s="28">
        <f t="shared" si="48"/>
        <v>3</v>
      </c>
      <c r="AB203" s="28">
        <f t="shared" si="49"/>
        <v>0.7</v>
      </c>
      <c r="AC203" s="28">
        <f t="shared" si="50"/>
        <v>0.05</v>
      </c>
      <c r="AD203" s="28">
        <f t="shared" si="51"/>
        <v>2.25</v>
      </c>
      <c r="AE203">
        <f t="shared" si="59"/>
        <v>0</v>
      </c>
      <c r="AF203">
        <f t="shared" si="60"/>
        <v>0.47244094488188976</v>
      </c>
      <c r="AG203">
        <f t="shared" si="61"/>
        <v>0.11023622047244094</v>
      </c>
      <c r="AH203">
        <f t="shared" si="62"/>
        <v>7.874015748031496E-3</v>
      </c>
      <c r="AI203">
        <f t="shared" si="63"/>
        <v>0.3543307086614173</v>
      </c>
      <c r="AJ203">
        <v>0</v>
      </c>
      <c r="AK203">
        <v>60</v>
      </c>
      <c r="AL203">
        <v>14</v>
      </c>
      <c r="AM203">
        <v>1</v>
      </c>
      <c r="AN203">
        <v>45</v>
      </c>
      <c r="AO203" s="22">
        <f t="shared" si="52"/>
        <v>0</v>
      </c>
      <c r="AP203" s="22">
        <f t="shared" si="53"/>
        <v>4.1108738641733114</v>
      </c>
      <c r="AQ203" s="22">
        <f t="shared" si="54"/>
        <v>2.7080502011022101</v>
      </c>
      <c r="AR203" s="22">
        <f t="shared" si="55"/>
        <v>0.69314718055994529</v>
      </c>
      <c r="AS203" s="22">
        <f t="shared" si="56"/>
        <v>3.8286413964890951</v>
      </c>
    </row>
    <row r="204" spans="1:45" x14ac:dyDescent="0.25">
      <c r="A204" t="s">
        <v>10</v>
      </c>
      <c r="B204" s="2">
        <v>41841</v>
      </c>
      <c r="C204">
        <v>202</v>
      </c>
      <c r="D204">
        <v>2014</v>
      </c>
      <c r="E204">
        <v>1009</v>
      </c>
      <c r="F204" s="1">
        <v>58100</v>
      </c>
      <c r="G204" s="44">
        <f t="shared" si="46"/>
        <v>1</v>
      </c>
      <c r="H204" s="18">
        <v>42.2318</v>
      </c>
      <c r="I204" s="6">
        <v>-80.5505</v>
      </c>
      <c r="J204">
        <v>42.632766666666669</v>
      </c>
      <c r="K204">
        <v>-81.01636666666667</v>
      </c>
      <c r="L204">
        <v>41.96221666666667</v>
      </c>
      <c r="M204">
        <v>-80.744650000000007</v>
      </c>
      <c r="N204" s="22">
        <f t="shared" si="57"/>
        <v>0.61465927056288205</v>
      </c>
      <c r="O204" s="22">
        <f t="shared" si="58"/>
        <v>0.33221889788377801</v>
      </c>
      <c r="P204" s="22">
        <f t="shared" si="45"/>
        <v>0.33221889788377801</v>
      </c>
      <c r="Q204">
        <v>22.05</v>
      </c>
      <c r="R204">
        <v>9.8800000000000008</v>
      </c>
      <c r="S204">
        <v>20.5</v>
      </c>
      <c r="T204" s="1">
        <v>17</v>
      </c>
      <c r="U204" s="1">
        <v>1</v>
      </c>
      <c r="V204">
        <v>2840</v>
      </c>
      <c r="W204">
        <v>20</v>
      </c>
      <c r="X204">
        <v>0.98</v>
      </c>
      <c r="Y204">
        <v>74</v>
      </c>
      <c r="Z204" s="28">
        <f t="shared" si="47"/>
        <v>0</v>
      </c>
      <c r="AA204" s="28">
        <f t="shared" si="48"/>
        <v>1.05</v>
      </c>
      <c r="AB204" s="28">
        <f t="shared" si="49"/>
        <v>1.4</v>
      </c>
      <c r="AC204" s="28">
        <f t="shared" si="50"/>
        <v>0</v>
      </c>
      <c r="AD204" s="28">
        <f t="shared" si="51"/>
        <v>0.9</v>
      </c>
      <c r="AE204">
        <f t="shared" si="59"/>
        <v>0</v>
      </c>
      <c r="AF204">
        <f t="shared" si="60"/>
        <v>0.28378378378378377</v>
      </c>
      <c r="AG204">
        <f t="shared" si="61"/>
        <v>0.3783783783783784</v>
      </c>
      <c r="AH204">
        <f t="shared" si="62"/>
        <v>0</v>
      </c>
      <c r="AI204">
        <f t="shared" si="63"/>
        <v>0.24324324324324326</v>
      </c>
      <c r="AJ204">
        <v>0</v>
      </c>
      <c r="AK204">
        <v>21</v>
      </c>
      <c r="AL204">
        <v>28</v>
      </c>
      <c r="AM204">
        <v>0</v>
      </c>
      <c r="AN204">
        <v>18</v>
      </c>
      <c r="AO204" s="22">
        <f t="shared" si="52"/>
        <v>0</v>
      </c>
      <c r="AP204" s="22">
        <f t="shared" si="53"/>
        <v>3.0910424533583161</v>
      </c>
      <c r="AQ204" s="22">
        <f t="shared" si="54"/>
        <v>3.3672958299864741</v>
      </c>
      <c r="AR204" s="22">
        <f t="shared" si="55"/>
        <v>0</v>
      </c>
      <c r="AS204" s="22">
        <f t="shared" si="56"/>
        <v>2.9444389791664403</v>
      </c>
    </row>
    <row r="205" spans="1:45" x14ac:dyDescent="0.25">
      <c r="A205" t="s">
        <v>10</v>
      </c>
      <c r="B205" s="2">
        <v>41842</v>
      </c>
      <c r="C205">
        <v>203</v>
      </c>
      <c r="D205">
        <v>2014</v>
      </c>
      <c r="E205">
        <v>2001</v>
      </c>
      <c r="F205" s="1">
        <v>57850</v>
      </c>
      <c r="G205" s="44">
        <f t="shared" si="46"/>
        <v>1</v>
      </c>
      <c r="H205" s="18">
        <v>42.337499999999999</v>
      </c>
      <c r="I205" s="6">
        <v>-81.283100000000005</v>
      </c>
      <c r="J205">
        <v>42.566916666666664</v>
      </c>
      <c r="K205">
        <v>-81.47208333333333</v>
      </c>
      <c r="L205">
        <v>41.819366666666667</v>
      </c>
      <c r="M205">
        <v>-81.155166666666673</v>
      </c>
      <c r="N205" s="22">
        <f t="shared" si="57"/>
        <v>0.29723173993067903</v>
      </c>
      <c r="O205" s="22">
        <f t="shared" si="58"/>
        <v>0.53369381567419938</v>
      </c>
      <c r="P205" s="22">
        <f t="shared" si="45"/>
        <v>0.29723173993067903</v>
      </c>
      <c r="Q205">
        <v>23.11</v>
      </c>
      <c r="R205">
        <v>19.84</v>
      </c>
      <c r="S205">
        <v>11.5</v>
      </c>
      <c r="T205" s="1">
        <v>5</v>
      </c>
      <c r="U205" s="1">
        <v>0</v>
      </c>
      <c r="V205">
        <v>2132</v>
      </c>
      <c r="W205">
        <v>20</v>
      </c>
      <c r="X205">
        <v>1</v>
      </c>
      <c r="Y205">
        <v>915</v>
      </c>
      <c r="Z205" s="28">
        <f t="shared" si="47"/>
        <v>0.35</v>
      </c>
      <c r="AA205" s="28">
        <f t="shared" si="48"/>
        <v>4.5</v>
      </c>
      <c r="AB205" s="28">
        <f t="shared" si="49"/>
        <v>0.1</v>
      </c>
      <c r="AC205" s="28">
        <f t="shared" si="50"/>
        <v>34.049999999999997</v>
      </c>
      <c r="AD205" s="28">
        <f t="shared" si="51"/>
        <v>1.25</v>
      </c>
      <c r="AE205">
        <f t="shared" si="59"/>
        <v>7.6502732240437158E-3</v>
      </c>
      <c r="AF205">
        <f t="shared" si="60"/>
        <v>9.8360655737704916E-2</v>
      </c>
      <c r="AG205">
        <f t="shared" si="61"/>
        <v>2.185792349726776E-3</v>
      </c>
      <c r="AH205">
        <f t="shared" si="62"/>
        <v>0.74426229508196717</v>
      </c>
      <c r="AI205">
        <f t="shared" si="63"/>
        <v>2.7322404371584699E-2</v>
      </c>
      <c r="AJ205">
        <v>7</v>
      </c>
      <c r="AK205">
        <v>90</v>
      </c>
      <c r="AL205">
        <v>2</v>
      </c>
      <c r="AM205">
        <v>681</v>
      </c>
      <c r="AN205">
        <v>25</v>
      </c>
      <c r="AO205" s="22">
        <f t="shared" si="52"/>
        <v>2.0794415416798357</v>
      </c>
      <c r="AP205" s="22">
        <f t="shared" si="53"/>
        <v>4.5108595065168497</v>
      </c>
      <c r="AQ205" s="22">
        <f t="shared" si="54"/>
        <v>1.0986122886681098</v>
      </c>
      <c r="AR205" s="22">
        <f t="shared" si="55"/>
        <v>6.5250296578434623</v>
      </c>
      <c r="AS205" s="22">
        <f t="shared" si="56"/>
        <v>3.2580965380214821</v>
      </c>
    </row>
    <row r="206" spans="1:45" x14ac:dyDescent="0.25">
      <c r="A206" t="s">
        <v>10</v>
      </c>
      <c r="B206" s="2">
        <v>41842</v>
      </c>
      <c r="C206">
        <v>203</v>
      </c>
      <c r="D206">
        <v>2014</v>
      </c>
      <c r="E206">
        <v>2002</v>
      </c>
      <c r="F206" s="1">
        <v>57850</v>
      </c>
      <c r="G206" s="44">
        <f t="shared" si="46"/>
        <v>1</v>
      </c>
      <c r="H206" s="18">
        <v>42.327600000000004</v>
      </c>
      <c r="I206" s="6">
        <v>-81.276600000000002</v>
      </c>
      <c r="J206">
        <v>42.566916666666664</v>
      </c>
      <c r="K206">
        <v>-81.47208333333333</v>
      </c>
      <c r="L206">
        <v>41.819366666666667</v>
      </c>
      <c r="M206">
        <v>-81.155166666666673</v>
      </c>
      <c r="N206" s="22">
        <f t="shared" si="57"/>
        <v>0.30900841502384768</v>
      </c>
      <c r="O206" s="22">
        <f t="shared" si="58"/>
        <v>0.52253916174345993</v>
      </c>
      <c r="P206" s="22">
        <f t="shared" si="45"/>
        <v>0.30900841502384768</v>
      </c>
      <c r="Q206">
        <v>22.95</v>
      </c>
      <c r="R206">
        <v>18.18</v>
      </c>
      <c r="S206">
        <v>14.2</v>
      </c>
      <c r="T206" s="1">
        <v>9</v>
      </c>
      <c r="U206" s="1">
        <v>0</v>
      </c>
      <c r="V206">
        <v>2236</v>
      </c>
      <c r="W206">
        <v>20</v>
      </c>
      <c r="X206">
        <v>0.95</v>
      </c>
      <c r="Y206">
        <v>3207</v>
      </c>
      <c r="Z206" s="28">
        <f t="shared" si="47"/>
        <v>0.4</v>
      </c>
      <c r="AA206" s="28">
        <f t="shared" si="48"/>
        <v>2</v>
      </c>
      <c r="AB206" s="28">
        <f t="shared" si="49"/>
        <v>0.9</v>
      </c>
      <c r="AC206" s="28">
        <f t="shared" si="50"/>
        <v>152.30000000000001</v>
      </c>
      <c r="AD206" s="28">
        <f t="shared" si="51"/>
        <v>0.4</v>
      </c>
      <c r="AE206">
        <f t="shared" si="59"/>
        <v>2.494543186778921E-3</v>
      </c>
      <c r="AF206">
        <f t="shared" si="60"/>
        <v>1.2472715933894606E-2</v>
      </c>
      <c r="AG206">
        <f t="shared" si="61"/>
        <v>5.6127221702525721E-3</v>
      </c>
      <c r="AH206">
        <f t="shared" si="62"/>
        <v>0.94979731836607417</v>
      </c>
      <c r="AI206">
        <f t="shared" si="63"/>
        <v>2.494543186778921E-3</v>
      </c>
      <c r="AJ206">
        <v>8</v>
      </c>
      <c r="AK206">
        <v>40</v>
      </c>
      <c r="AL206">
        <v>18</v>
      </c>
      <c r="AM206">
        <v>3046</v>
      </c>
      <c r="AN206">
        <v>8</v>
      </c>
      <c r="AO206" s="22">
        <f t="shared" si="52"/>
        <v>2.1972245773362196</v>
      </c>
      <c r="AP206" s="22">
        <f t="shared" si="53"/>
        <v>3.713572066704308</v>
      </c>
      <c r="AQ206" s="22">
        <f t="shared" si="54"/>
        <v>2.9444389791664403</v>
      </c>
      <c r="AR206" s="22">
        <f t="shared" si="55"/>
        <v>8.0219127789857083</v>
      </c>
      <c r="AS206" s="22">
        <f t="shared" si="56"/>
        <v>2.1972245773362196</v>
      </c>
    </row>
    <row r="207" spans="1:45" x14ac:dyDescent="0.25">
      <c r="A207" t="s">
        <v>10</v>
      </c>
      <c r="B207" s="2">
        <v>41842</v>
      </c>
      <c r="C207">
        <v>203</v>
      </c>
      <c r="D207">
        <v>2014</v>
      </c>
      <c r="E207">
        <v>2003</v>
      </c>
      <c r="F207" s="1">
        <v>57850</v>
      </c>
      <c r="G207" s="44">
        <f t="shared" si="46"/>
        <v>1</v>
      </c>
      <c r="H207" s="18">
        <v>42.293900000000001</v>
      </c>
      <c r="I207" s="6">
        <v>-81.263900000000007</v>
      </c>
      <c r="J207">
        <v>42.566916666666664</v>
      </c>
      <c r="K207">
        <v>-81.47208333333333</v>
      </c>
      <c r="L207">
        <v>41.819366666666667</v>
      </c>
      <c r="M207">
        <v>-81.155166666666673</v>
      </c>
      <c r="N207" s="22">
        <f t="shared" si="57"/>
        <v>0.34333424029005571</v>
      </c>
      <c r="O207" s="22">
        <f t="shared" si="58"/>
        <v>0.48683141047206718</v>
      </c>
      <c r="P207" s="22">
        <f t="shared" si="45"/>
        <v>0.34333424029005571</v>
      </c>
      <c r="Q207">
        <v>22.63</v>
      </c>
      <c r="R207">
        <v>21.83</v>
      </c>
      <c r="S207">
        <v>18.8</v>
      </c>
      <c r="T207" s="1">
        <v>5</v>
      </c>
      <c r="U207" s="1">
        <v>0</v>
      </c>
      <c r="V207">
        <v>2359</v>
      </c>
      <c r="W207">
        <v>20</v>
      </c>
      <c r="X207">
        <v>0.97</v>
      </c>
      <c r="Y207">
        <v>399</v>
      </c>
      <c r="Z207" s="28">
        <f t="shared" si="47"/>
        <v>0</v>
      </c>
      <c r="AA207" s="28">
        <f t="shared" si="48"/>
        <v>0.35</v>
      </c>
      <c r="AB207" s="28">
        <f t="shared" si="49"/>
        <v>0</v>
      </c>
      <c r="AC207" s="28">
        <f t="shared" si="50"/>
        <v>13.3</v>
      </c>
      <c r="AD207" s="28">
        <f t="shared" si="51"/>
        <v>6.3</v>
      </c>
      <c r="AE207">
        <f t="shared" si="59"/>
        <v>0</v>
      </c>
      <c r="AF207">
        <f t="shared" si="60"/>
        <v>1.7543859649122806E-2</v>
      </c>
      <c r="AG207">
        <f t="shared" si="61"/>
        <v>0</v>
      </c>
      <c r="AH207">
        <f t="shared" si="62"/>
        <v>0.66666666666666663</v>
      </c>
      <c r="AI207">
        <f t="shared" si="63"/>
        <v>0.31578947368421051</v>
      </c>
      <c r="AJ207">
        <v>0</v>
      </c>
      <c r="AK207">
        <v>7</v>
      </c>
      <c r="AL207">
        <v>0</v>
      </c>
      <c r="AM207">
        <v>266</v>
      </c>
      <c r="AN207">
        <v>126</v>
      </c>
      <c r="AO207" s="22">
        <f t="shared" si="52"/>
        <v>0</v>
      </c>
      <c r="AP207" s="22">
        <f t="shared" si="53"/>
        <v>2.0794415416798357</v>
      </c>
      <c r="AQ207" s="22">
        <f t="shared" si="54"/>
        <v>0</v>
      </c>
      <c r="AR207" s="22">
        <f t="shared" si="55"/>
        <v>5.5872486584002496</v>
      </c>
      <c r="AS207" s="22">
        <f t="shared" si="56"/>
        <v>4.8441870864585912</v>
      </c>
    </row>
    <row r="208" spans="1:45" x14ac:dyDescent="0.25">
      <c r="A208" t="s">
        <v>10</v>
      </c>
      <c r="B208" s="2">
        <v>41842</v>
      </c>
      <c r="C208">
        <v>203</v>
      </c>
      <c r="D208">
        <v>2014</v>
      </c>
      <c r="E208">
        <v>2004</v>
      </c>
      <c r="F208" s="1">
        <v>57850</v>
      </c>
      <c r="G208" s="44">
        <f t="shared" si="46"/>
        <v>1</v>
      </c>
      <c r="H208" s="18">
        <v>42.298000000000002</v>
      </c>
      <c r="I208" s="6">
        <v>-81.265500000000003</v>
      </c>
      <c r="J208">
        <v>42.566916666666664</v>
      </c>
      <c r="K208">
        <v>-81.47208333333333</v>
      </c>
      <c r="L208">
        <v>41.819366666666667</v>
      </c>
      <c r="M208">
        <v>-81.155166666666673</v>
      </c>
      <c r="N208" s="22">
        <f t="shared" si="57"/>
        <v>0.33910595279678796</v>
      </c>
      <c r="O208" s="22">
        <f t="shared" si="58"/>
        <v>0.49118561890819096</v>
      </c>
      <c r="P208" s="22">
        <f t="shared" si="45"/>
        <v>0.33910595279678796</v>
      </c>
      <c r="Q208">
        <v>22.74</v>
      </c>
      <c r="R208">
        <v>10.65</v>
      </c>
      <c r="S208">
        <v>18.2</v>
      </c>
      <c r="T208" s="1">
        <v>10</v>
      </c>
      <c r="U208" s="1">
        <v>0</v>
      </c>
      <c r="V208">
        <v>2438</v>
      </c>
      <c r="W208">
        <v>20</v>
      </c>
      <c r="X208">
        <v>0.97</v>
      </c>
      <c r="Y208">
        <v>2240</v>
      </c>
      <c r="Z208" s="28">
        <f t="shared" si="47"/>
        <v>0.25</v>
      </c>
      <c r="AA208" s="28">
        <f t="shared" si="48"/>
        <v>11</v>
      </c>
      <c r="AB208" s="28">
        <f t="shared" si="49"/>
        <v>0.45</v>
      </c>
      <c r="AC208" s="28">
        <f t="shared" si="50"/>
        <v>77.599999999999994</v>
      </c>
      <c r="AD208" s="28">
        <f t="shared" si="51"/>
        <v>9.75</v>
      </c>
      <c r="AE208">
        <f t="shared" si="59"/>
        <v>2.232142857142857E-3</v>
      </c>
      <c r="AF208">
        <f t="shared" si="60"/>
        <v>9.8214285714285712E-2</v>
      </c>
      <c r="AG208">
        <f t="shared" si="61"/>
        <v>4.0178571428571425E-3</v>
      </c>
      <c r="AH208">
        <f t="shared" si="62"/>
        <v>0.69285714285714284</v>
      </c>
      <c r="AI208">
        <f t="shared" si="63"/>
        <v>8.7053571428571425E-2</v>
      </c>
      <c r="AJ208">
        <v>5</v>
      </c>
      <c r="AK208">
        <v>220</v>
      </c>
      <c r="AL208">
        <v>9</v>
      </c>
      <c r="AM208">
        <v>1552</v>
      </c>
      <c r="AN208">
        <v>195</v>
      </c>
      <c r="AO208" s="22">
        <f t="shared" si="52"/>
        <v>1.791759469228055</v>
      </c>
      <c r="AP208" s="22">
        <f t="shared" si="53"/>
        <v>5.3981627015177525</v>
      </c>
      <c r="AQ208" s="22">
        <f t="shared" si="54"/>
        <v>2.3025850929940459</v>
      </c>
      <c r="AR208" s="22">
        <f t="shared" si="55"/>
        <v>7.3479438231486869</v>
      </c>
      <c r="AS208" s="22">
        <f t="shared" si="56"/>
        <v>5.2781146592305168</v>
      </c>
    </row>
    <row r="209" spans="1:45" x14ac:dyDescent="0.25">
      <c r="A209" t="s">
        <v>10</v>
      </c>
      <c r="B209" s="2">
        <v>41842</v>
      </c>
      <c r="C209">
        <v>203</v>
      </c>
      <c r="D209">
        <v>2014</v>
      </c>
      <c r="E209">
        <v>2005</v>
      </c>
      <c r="F209" s="1">
        <v>57850</v>
      </c>
      <c r="G209" s="44">
        <f t="shared" si="46"/>
        <v>1</v>
      </c>
      <c r="H209" s="18">
        <v>42.298400000000001</v>
      </c>
      <c r="I209" s="6">
        <v>-81.265799999999999</v>
      </c>
      <c r="J209">
        <v>42.566916666666664</v>
      </c>
      <c r="K209">
        <v>-81.47208333333333</v>
      </c>
      <c r="L209">
        <v>41.819366666666667</v>
      </c>
      <c r="M209">
        <v>-81.155166666666673</v>
      </c>
      <c r="N209" s="22">
        <f t="shared" si="57"/>
        <v>0.33860598619765464</v>
      </c>
      <c r="O209" s="22">
        <f t="shared" si="58"/>
        <v>0.49164282654065788</v>
      </c>
      <c r="P209" s="22">
        <f t="shared" si="45"/>
        <v>0.33860598619765464</v>
      </c>
      <c r="Q209">
        <v>22.76</v>
      </c>
      <c r="R209">
        <v>10.27</v>
      </c>
      <c r="S209">
        <v>18.3</v>
      </c>
      <c r="T209" s="1">
        <v>16</v>
      </c>
      <c r="U209" s="1">
        <v>1</v>
      </c>
      <c r="V209">
        <v>2541</v>
      </c>
      <c r="W209">
        <v>20</v>
      </c>
      <c r="X209">
        <v>0.91</v>
      </c>
      <c r="Y209">
        <v>272</v>
      </c>
      <c r="Z209" s="28">
        <f t="shared" si="47"/>
        <v>0.15</v>
      </c>
      <c r="AA209" s="28">
        <f t="shared" si="48"/>
        <v>0</v>
      </c>
      <c r="AB209" s="28">
        <f t="shared" si="49"/>
        <v>9.4499999999999993</v>
      </c>
      <c r="AC209" s="28">
        <f t="shared" si="50"/>
        <v>0</v>
      </c>
      <c r="AD209" s="28">
        <f t="shared" si="51"/>
        <v>2.15</v>
      </c>
      <c r="AE209">
        <f t="shared" si="59"/>
        <v>1.1029411764705883E-2</v>
      </c>
      <c r="AF209">
        <f t="shared" si="60"/>
        <v>0</v>
      </c>
      <c r="AG209">
        <f t="shared" si="61"/>
        <v>0.69485294117647056</v>
      </c>
      <c r="AH209">
        <f t="shared" si="62"/>
        <v>0</v>
      </c>
      <c r="AI209">
        <f t="shared" si="63"/>
        <v>0.15808823529411764</v>
      </c>
      <c r="AJ209">
        <v>3</v>
      </c>
      <c r="AK209">
        <v>0</v>
      </c>
      <c r="AL209">
        <v>189</v>
      </c>
      <c r="AM209">
        <v>0</v>
      </c>
      <c r="AN209">
        <v>43</v>
      </c>
      <c r="AO209" s="22">
        <f t="shared" si="52"/>
        <v>1.3862943611198906</v>
      </c>
      <c r="AP209" s="22">
        <f t="shared" si="53"/>
        <v>0</v>
      </c>
      <c r="AQ209" s="22">
        <f t="shared" si="54"/>
        <v>5.2470240721604862</v>
      </c>
      <c r="AR209" s="22">
        <f t="shared" si="55"/>
        <v>0</v>
      </c>
      <c r="AS209" s="22">
        <f t="shared" si="56"/>
        <v>3.784189633918261</v>
      </c>
    </row>
    <row r="210" spans="1:45" x14ac:dyDescent="0.25">
      <c r="A210" t="s">
        <v>10</v>
      </c>
      <c r="B210" s="2">
        <v>41842</v>
      </c>
      <c r="C210">
        <v>203</v>
      </c>
      <c r="D210">
        <v>2014</v>
      </c>
      <c r="E210">
        <v>2006</v>
      </c>
      <c r="F210" s="1">
        <v>57850</v>
      </c>
      <c r="G210" s="44">
        <f t="shared" si="46"/>
        <v>1</v>
      </c>
      <c r="H210" s="18">
        <v>42.201999999999998</v>
      </c>
      <c r="I210" s="6">
        <v>-81.229900000000001</v>
      </c>
      <c r="J210">
        <v>42.566916666666664</v>
      </c>
      <c r="K210">
        <v>-81.47208333333333</v>
      </c>
      <c r="L210">
        <v>41.819366666666667</v>
      </c>
      <c r="M210">
        <v>-81.155166666666673</v>
      </c>
      <c r="N210" s="22">
        <f t="shared" si="57"/>
        <v>0.43796910913391279</v>
      </c>
      <c r="O210" s="22">
        <f t="shared" si="58"/>
        <v>0.3898632310040101</v>
      </c>
      <c r="P210" s="22">
        <f t="shared" ref="P210:P273" si="64">MIN(O210, N210)</f>
        <v>0.3898632310040101</v>
      </c>
      <c r="Q210">
        <v>23.38</v>
      </c>
      <c r="R210">
        <v>19.59</v>
      </c>
      <c r="S210">
        <v>22</v>
      </c>
      <c r="T210" s="1">
        <v>15</v>
      </c>
      <c r="U210" s="1">
        <v>1</v>
      </c>
      <c r="V210">
        <v>2740</v>
      </c>
      <c r="W210">
        <v>20</v>
      </c>
      <c r="X210">
        <v>0.96</v>
      </c>
      <c r="Y210">
        <v>1104</v>
      </c>
      <c r="Z210" s="28">
        <f t="shared" si="47"/>
        <v>0</v>
      </c>
      <c r="AA210" s="28">
        <f t="shared" si="48"/>
        <v>12.9</v>
      </c>
      <c r="AB210" s="28">
        <f t="shared" si="49"/>
        <v>0</v>
      </c>
      <c r="AC210" s="28">
        <f t="shared" si="50"/>
        <v>1.1000000000000001</v>
      </c>
      <c r="AD210" s="28">
        <f t="shared" si="51"/>
        <v>17.600000000000001</v>
      </c>
      <c r="AE210">
        <f t="shared" si="59"/>
        <v>0</v>
      </c>
      <c r="AF210">
        <f t="shared" si="60"/>
        <v>0.23369565217391305</v>
      </c>
      <c r="AG210">
        <f t="shared" si="61"/>
        <v>0</v>
      </c>
      <c r="AH210">
        <f t="shared" si="62"/>
        <v>1.9927536231884056E-2</v>
      </c>
      <c r="AI210">
        <f t="shared" si="63"/>
        <v>0.3188405797101449</v>
      </c>
      <c r="AJ210">
        <v>0</v>
      </c>
      <c r="AK210">
        <v>258</v>
      </c>
      <c r="AL210">
        <v>0</v>
      </c>
      <c r="AM210">
        <v>22</v>
      </c>
      <c r="AN210">
        <v>352</v>
      </c>
      <c r="AO210" s="22">
        <f t="shared" si="52"/>
        <v>0</v>
      </c>
      <c r="AP210" s="22">
        <f t="shared" si="53"/>
        <v>5.5568280616995374</v>
      </c>
      <c r="AQ210" s="22">
        <f t="shared" si="54"/>
        <v>0</v>
      </c>
      <c r="AR210" s="22">
        <f t="shared" si="55"/>
        <v>3.1354942159291497</v>
      </c>
      <c r="AS210" s="22">
        <f t="shared" si="56"/>
        <v>5.8664680569332965</v>
      </c>
    </row>
    <row r="211" spans="1:45" x14ac:dyDescent="0.25">
      <c r="A211" t="s">
        <v>10</v>
      </c>
      <c r="B211" s="2">
        <v>41843</v>
      </c>
      <c r="C211">
        <v>204</v>
      </c>
      <c r="D211">
        <v>2014</v>
      </c>
      <c r="E211">
        <v>3001</v>
      </c>
      <c r="F211" s="1">
        <v>57600</v>
      </c>
      <c r="G211" s="44">
        <f t="shared" ref="G211:G274" si="65">IF(F211&lt;57601, 0, 1)</f>
        <v>0</v>
      </c>
      <c r="H211" s="18">
        <v>42.045900000000003</v>
      </c>
      <c r="I211" s="6">
        <v>-81.45</v>
      </c>
      <c r="J211">
        <v>42.261233333333337</v>
      </c>
      <c r="K211">
        <v>-81.829883333333328</v>
      </c>
      <c r="L211">
        <v>41.621000000000002</v>
      </c>
      <c r="M211">
        <v>-81.539483333333337</v>
      </c>
      <c r="N211" s="22">
        <f t="shared" si="57"/>
        <v>0.43666897232214996</v>
      </c>
      <c r="O211" s="22">
        <f t="shared" si="58"/>
        <v>0.4342203092261408</v>
      </c>
      <c r="P211" s="22">
        <f t="shared" si="64"/>
        <v>0.4342203092261408</v>
      </c>
      <c r="Q211">
        <v>21.9</v>
      </c>
      <c r="R211">
        <v>15.5</v>
      </c>
      <c r="S211">
        <v>24</v>
      </c>
      <c r="T211" s="1">
        <v>12</v>
      </c>
      <c r="U211" s="1">
        <v>0</v>
      </c>
      <c r="V211">
        <v>2140</v>
      </c>
      <c r="W211">
        <v>20</v>
      </c>
      <c r="X211">
        <v>0.98</v>
      </c>
      <c r="Y211">
        <v>130</v>
      </c>
      <c r="Z211" s="28">
        <f t="shared" ref="Z211:Z274" si="66">AJ211/$W211</f>
        <v>0</v>
      </c>
      <c r="AA211" s="28">
        <f t="shared" ref="AA211:AA274" si="67">AK211/$W211</f>
        <v>1</v>
      </c>
      <c r="AB211" s="28">
        <f t="shared" ref="AB211:AB274" si="68">AL211/$W211</f>
        <v>0</v>
      </c>
      <c r="AC211" s="28">
        <f t="shared" ref="AC211:AC274" si="69">AM211/$W211</f>
        <v>4.1500000000000004</v>
      </c>
      <c r="AD211" s="28">
        <f t="shared" ref="AD211:AD274" si="70">AN211/$W211</f>
        <v>0.8</v>
      </c>
      <c r="AE211">
        <f t="shared" si="59"/>
        <v>0</v>
      </c>
      <c r="AF211">
        <f t="shared" si="60"/>
        <v>0.15384615384615385</v>
      </c>
      <c r="AG211">
        <f t="shared" si="61"/>
        <v>0</v>
      </c>
      <c r="AH211">
        <f t="shared" si="62"/>
        <v>0.63846153846153841</v>
      </c>
      <c r="AI211">
        <f t="shared" si="63"/>
        <v>0.12307692307692308</v>
      </c>
      <c r="AJ211">
        <v>0</v>
      </c>
      <c r="AK211">
        <v>20</v>
      </c>
      <c r="AL211">
        <v>0</v>
      </c>
      <c r="AM211">
        <v>83</v>
      </c>
      <c r="AN211">
        <v>16</v>
      </c>
      <c r="AO211" s="22">
        <f t="shared" ref="AO211:AO274" si="71">LN(AJ211+1)</f>
        <v>0</v>
      </c>
      <c r="AP211" s="22">
        <f t="shared" ref="AP211:AP274" si="72">LN(AK211+1)</f>
        <v>3.044522437723423</v>
      </c>
      <c r="AQ211" s="22">
        <f t="shared" ref="AQ211:AQ274" si="73">LN(AL211+1)</f>
        <v>0</v>
      </c>
      <c r="AR211" s="22">
        <f t="shared" ref="AR211:AR274" si="74">LN(AM211+1)</f>
        <v>4.4308167988433134</v>
      </c>
      <c r="AS211" s="22">
        <f t="shared" ref="AS211:AS274" si="75">LN(AN211+1)</f>
        <v>2.8332133440562162</v>
      </c>
    </row>
    <row r="212" spans="1:45" x14ac:dyDescent="0.25">
      <c r="A212" t="s">
        <v>10</v>
      </c>
      <c r="B212" s="2">
        <v>41843</v>
      </c>
      <c r="C212">
        <v>204</v>
      </c>
      <c r="D212">
        <v>2014</v>
      </c>
      <c r="E212">
        <v>3002</v>
      </c>
      <c r="F212" s="1">
        <v>57600</v>
      </c>
      <c r="G212" s="44">
        <f t="shared" si="65"/>
        <v>0</v>
      </c>
      <c r="H212" s="18">
        <v>42.035800000000002</v>
      </c>
      <c r="I212" s="6">
        <v>-81.437799999999996</v>
      </c>
      <c r="J212">
        <v>42.261233333333337</v>
      </c>
      <c r="K212">
        <v>-81.829883333333328</v>
      </c>
      <c r="L212">
        <v>41.621000000000002</v>
      </c>
      <c r="M212">
        <v>-81.539483333333337</v>
      </c>
      <c r="N212" s="22">
        <f t="shared" si="57"/>
        <v>0.45227152027908551</v>
      </c>
      <c r="O212" s="22">
        <f t="shared" si="58"/>
        <v>0.42708142113393205</v>
      </c>
      <c r="P212" s="22">
        <f t="shared" si="64"/>
        <v>0.42708142113393205</v>
      </c>
      <c r="Q212">
        <v>22.2</v>
      </c>
      <c r="R212">
        <v>8.7899999999999991</v>
      </c>
      <c r="S212">
        <v>23.9</v>
      </c>
      <c r="T212" s="1">
        <v>16</v>
      </c>
      <c r="U212" s="1">
        <v>1</v>
      </c>
      <c r="V212">
        <v>2316</v>
      </c>
      <c r="W212">
        <v>20</v>
      </c>
      <c r="X212">
        <v>0.96</v>
      </c>
      <c r="Y212">
        <v>370</v>
      </c>
      <c r="Z212" s="28">
        <f t="shared" si="66"/>
        <v>0.25</v>
      </c>
      <c r="AA212" s="28">
        <f t="shared" si="67"/>
        <v>6.45</v>
      </c>
      <c r="AB212" s="28">
        <f t="shared" si="68"/>
        <v>0.05</v>
      </c>
      <c r="AC212" s="28">
        <f t="shared" si="69"/>
        <v>7.25</v>
      </c>
      <c r="AD212" s="28">
        <f t="shared" si="70"/>
        <v>2.95</v>
      </c>
      <c r="AE212">
        <f t="shared" si="59"/>
        <v>1.3513513513513514E-2</v>
      </c>
      <c r="AF212">
        <f t="shared" si="60"/>
        <v>0.34864864864864864</v>
      </c>
      <c r="AG212">
        <f t="shared" si="61"/>
        <v>2.7027027027027029E-3</v>
      </c>
      <c r="AH212">
        <f t="shared" si="62"/>
        <v>0.39189189189189189</v>
      </c>
      <c r="AI212">
        <f t="shared" si="63"/>
        <v>0.15945945945945947</v>
      </c>
      <c r="AJ212">
        <v>5</v>
      </c>
      <c r="AK212">
        <v>129</v>
      </c>
      <c r="AL212">
        <v>1</v>
      </c>
      <c r="AM212">
        <v>145</v>
      </c>
      <c r="AN212">
        <v>59</v>
      </c>
      <c r="AO212" s="22">
        <f t="shared" si="71"/>
        <v>1.791759469228055</v>
      </c>
      <c r="AP212" s="22">
        <f t="shared" si="72"/>
        <v>4.8675344504555822</v>
      </c>
      <c r="AQ212" s="22">
        <f t="shared" si="73"/>
        <v>0.69314718055994529</v>
      </c>
      <c r="AR212" s="22">
        <f t="shared" si="74"/>
        <v>4.9836066217083363</v>
      </c>
      <c r="AS212" s="22">
        <f t="shared" si="75"/>
        <v>4.0943445622221004</v>
      </c>
    </row>
    <row r="213" spans="1:45" x14ac:dyDescent="0.25">
      <c r="A213" t="s">
        <v>10</v>
      </c>
      <c r="B213" s="2">
        <v>41843</v>
      </c>
      <c r="C213">
        <v>204</v>
      </c>
      <c r="D213">
        <v>2014</v>
      </c>
      <c r="E213">
        <v>3003</v>
      </c>
      <c r="F213" s="1">
        <v>57600</v>
      </c>
      <c r="G213" s="44">
        <f t="shared" si="65"/>
        <v>0</v>
      </c>
      <c r="H213" s="18">
        <v>42.0349</v>
      </c>
      <c r="I213" s="6">
        <v>-81.433800000000005</v>
      </c>
      <c r="J213">
        <v>42.261233333333337</v>
      </c>
      <c r="K213">
        <v>-81.829883333333328</v>
      </c>
      <c r="L213">
        <v>41.621000000000002</v>
      </c>
      <c r="M213">
        <v>-81.539483333333337</v>
      </c>
      <c r="N213" s="22">
        <f t="shared" si="57"/>
        <v>0.45618941759121856</v>
      </c>
      <c r="O213" s="22">
        <f t="shared" si="58"/>
        <v>0.42717932644785439</v>
      </c>
      <c r="P213" s="22">
        <f t="shared" si="64"/>
        <v>0.42717932644785439</v>
      </c>
      <c r="Q213">
        <v>22.1</v>
      </c>
      <c r="R213">
        <v>22.11</v>
      </c>
      <c r="S213">
        <v>24.4</v>
      </c>
      <c r="T213" s="1">
        <v>8</v>
      </c>
      <c r="U213" s="1">
        <v>0</v>
      </c>
      <c r="V213">
        <v>2414</v>
      </c>
      <c r="W213">
        <v>20</v>
      </c>
      <c r="X213">
        <v>0.92</v>
      </c>
      <c r="Y213">
        <v>199</v>
      </c>
      <c r="Z213" s="28">
        <f t="shared" si="66"/>
        <v>0.15</v>
      </c>
      <c r="AA213" s="28">
        <f t="shared" si="67"/>
        <v>0.5</v>
      </c>
      <c r="AB213" s="28">
        <f t="shared" si="68"/>
        <v>0</v>
      </c>
      <c r="AC213" s="28">
        <f t="shared" si="69"/>
        <v>6.35</v>
      </c>
      <c r="AD213" s="28">
        <f t="shared" si="70"/>
        <v>1.9</v>
      </c>
      <c r="AE213">
        <f t="shared" si="59"/>
        <v>1.507537688442211E-2</v>
      </c>
      <c r="AF213">
        <f t="shared" si="60"/>
        <v>5.0251256281407038E-2</v>
      </c>
      <c r="AG213">
        <f t="shared" si="61"/>
        <v>0</v>
      </c>
      <c r="AH213">
        <f t="shared" si="62"/>
        <v>0.63819095477386933</v>
      </c>
      <c r="AI213">
        <f t="shared" si="63"/>
        <v>0.19095477386934673</v>
      </c>
      <c r="AJ213">
        <v>3</v>
      </c>
      <c r="AK213">
        <v>10</v>
      </c>
      <c r="AL213">
        <v>0</v>
      </c>
      <c r="AM213">
        <v>127</v>
      </c>
      <c r="AN213">
        <v>38</v>
      </c>
      <c r="AO213" s="22">
        <f t="shared" si="71"/>
        <v>1.3862943611198906</v>
      </c>
      <c r="AP213" s="22">
        <f t="shared" si="72"/>
        <v>2.3978952727983707</v>
      </c>
      <c r="AQ213" s="22">
        <f t="shared" si="73"/>
        <v>0</v>
      </c>
      <c r="AR213" s="22">
        <f t="shared" si="74"/>
        <v>4.8520302639196169</v>
      </c>
      <c r="AS213" s="22">
        <f t="shared" si="75"/>
        <v>3.6635616461296463</v>
      </c>
    </row>
    <row r="214" spans="1:45" x14ac:dyDescent="0.25">
      <c r="A214" t="s">
        <v>10</v>
      </c>
      <c r="B214" s="2">
        <v>41843</v>
      </c>
      <c r="C214">
        <v>204</v>
      </c>
      <c r="D214">
        <v>2014</v>
      </c>
      <c r="E214">
        <v>3004</v>
      </c>
      <c r="F214" s="1">
        <v>57600</v>
      </c>
      <c r="G214" s="44">
        <f t="shared" si="65"/>
        <v>0</v>
      </c>
      <c r="H214" s="18">
        <v>42.123999999999995</v>
      </c>
      <c r="I214" s="6">
        <v>-81.482700000000008</v>
      </c>
      <c r="J214">
        <v>42.261233333333337</v>
      </c>
      <c r="K214">
        <v>-81.829883333333328</v>
      </c>
      <c r="L214">
        <v>41.621000000000002</v>
      </c>
      <c r="M214">
        <v>-81.539483333333337</v>
      </c>
      <c r="N214" s="22">
        <f t="shared" si="57"/>
        <v>0.37332191835226447</v>
      </c>
      <c r="O214" s="22">
        <f t="shared" si="58"/>
        <v>0.50619496929981123</v>
      </c>
      <c r="P214" s="22">
        <f t="shared" si="64"/>
        <v>0.37332191835226447</v>
      </c>
      <c r="Q214">
        <v>20.99</v>
      </c>
      <c r="R214">
        <v>20.97</v>
      </c>
      <c r="S214">
        <v>20.2</v>
      </c>
      <c r="T214" s="1">
        <v>10</v>
      </c>
      <c r="U214" s="1">
        <v>0</v>
      </c>
      <c r="V214">
        <v>2622</v>
      </c>
      <c r="W214">
        <v>20</v>
      </c>
      <c r="X214">
        <v>0.94</v>
      </c>
      <c r="Y214">
        <v>530</v>
      </c>
      <c r="Z214" s="28">
        <f t="shared" si="66"/>
        <v>0.2</v>
      </c>
      <c r="AA214" s="28">
        <f t="shared" si="67"/>
        <v>2.0499999999999998</v>
      </c>
      <c r="AB214" s="28">
        <f t="shared" si="68"/>
        <v>0</v>
      </c>
      <c r="AC214" s="28">
        <f t="shared" si="69"/>
        <v>8.75</v>
      </c>
      <c r="AD214" s="28">
        <f t="shared" si="70"/>
        <v>12.95</v>
      </c>
      <c r="AE214">
        <f t="shared" si="59"/>
        <v>7.5471698113207548E-3</v>
      </c>
      <c r="AF214">
        <f t="shared" si="60"/>
        <v>7.7358490566037733E-2</v>
      </c>
      <c r="AG214">
        <f t="shared" si="61"/>
        <v>0</v>
      </c>
      <c r="AH214">
        <f t="shared" si="62"/>
        <v>0.330188679245283</v>
      </c>
      <c r="AI214">
        <f t="shared" si="63"/>
        <v>0.48867924528301887</v>
      </c>
      <c r="AJ214">
        <v>4</v>
      </c>
      <c r="AK214">
        <v>41</v>
      </c>
      <c r="AL214">
        <v>0</v>
      </c>
      <c r="AM214">
        <v>175</v>
      </c>
      <c r="AN214">
        <v>259</v>
      </c>
      <c r="AO214" s="22">
        <f t="shared" si="71"/>
        <v>1.6094379124341003</v>
      </c>
      <c r="AP214" s="22">
        <f t="shared" si="72"/>
        <v>3.7376696182833684</v>
      </c>
      <c r="AQ214" s="22">
        <f t="shared" si="73"/>
        <v>0</v>
      </c>
      <c r="AR214" s="22">
        <f t="shared" si="74"/>
        <v>5.1704839950381514</v>
      </c>
      <c r="AS214" s="22">
        <f t="shared" si="75"/>
        <v>5.5606816310155276</v>
      </c>
    </row>
    <row r="215" spans="1:45" x14ac:dyDescent="0.25">
      <c r="A215" t="s">
        <v>10</v>
      </c>
      <c r="B215" s="2">
        <v>41843</v>
      </c>
      <c r="C215">
        <v>204</v>
      </c>
      <c r="D215">
        <v>2014</v>
      </c>
      <c r="E215">
        <v>3005</v>
      </c>
      <c r="F215" s="1">
        <v>57600</v>
      </c>
      <c r="G215" s="44">
        <f t="shared" si="65"/>
        <v>0</v>
      </c>
      <c r="H215" s="18">
        <v>42.118900000000004</v>
      </c>
      <c r="I215" s="6">
        <v>-81.478800000000007</v>
      </c>
      <c r="J215">
        <v>42.261233333333337</v>
      </c>
      <c r="K215">
        <v>-81.829883333333328</v>
      </c>
      <c r="L215">
        <v>41.621000000000002</v>
      </c>
      <c r="M215">
        <v>-81.539483333333337</v>
      </c>
      <c r="N215" s="22">
        <f t="shared" si="57"/>
        <v>0.37883807190172097</v>
      </c>
      <c r="O215" s="22">
        <f t="shared" si="58"/>
        <v>0.50158436672652129</v>
      </c>
      <c r="P215" s="22">
        <f t="shared" si="64"/>
        <v>0.37883807190172097</v>
      </c>
      <c r="Q215">
        <v>21.1</v>
      </c>
      <c r="R215">
        <v>9.73</v>
      </c>
      <c r="S215">
        <v>21</v>
      </c>
      <c r="T215" s="1">
        <v>14</v>
      </c>
      <c r="U215" s="1">
        <v>0</v>
      </c>
      <c r="V215">
        <v>2710</v>
      </c>
      <c r="W215">
        <v>20</v>
      </c>
      <c r="X215">
        <v>0.95</v>
      </c>
      <c r="Y215">
        <v>116</v>
      </c>
      <c r="Z215" s="28">
        <f t="shared" si="66"/>
        <v>0.25</v>
      </c>
      <c r="AA215" s="28">
        <f t="shared" si="67"/>
        <v>1.55</v>
      </c>
      <c r="AB215" s="28">
        <f t="shared" si="68"/>
        <v>0.4</v>
      </c>
      <c r="AC215" s="28">
        <f t="shared" si="69"/>
        <v>1.05</v>
      </c>
      <c r="AD215" s="28">
        <f t="shared" si="70"/>
        <v>2.0499999999999998</v>
      </c>
      <c r="AE215">
        <f t="shared" si="59"/>
        <v>4.3103448275862072E-2</v>
      </c>
      <c r="AF215">
        <f t="shared" si="60"/>
        <v>0.26724137931034481</v>
      </c>
      <c r="AG215">
        <f t="shared" si="61"/>
        <v>6.8965517241379309E-2</v>
      </c>
      <c r="AH215">
        <f t="shared" si="62"/>
        <v>0.18103448275862069</v>
      </c>
      <c r="AI215">
        <f t="shared" si="63"/>
        <v>0.35344827586206895</v>
      </c>
      <c r="AJ215">
        <v>5</v>
      </c>
      <c r="AK215">
        <v>31</v>
      </c>
      <c r="AL215">
        <v>8</v>
      </c>
      <c r="AM215">
        <v>21</v>
      </c>
      <c r="AN215">
        <v>41</v>
      </c>
      <c r="AO215" s="22">
        <f t="shared" si="71"/>
        <v>1.791759469228055</v>
      </c>
      <c r="AP215" s="22">
        <f t="shared" si="72"/>
        <v>3.4657359027997265</v>
      </c>
      <c r="AQ215" s="22">
        <f t="shared" si="73"/>
        <v>2.1972245773362196</v>
      </c>
      <c r="AR215" s="22">
        <f t="shared" si="74"/>
        <v>3.0910424533583161</v>
      </c>
      <c r="AS215" s="22">
        <f t="shared" si="75"/>
        <v>3.7376696182833684</v>
      </c>
    </row>
    <row r="216" spans="1:45" x14ac:dyDescent="0.25">
      <c r="A216" t="s">
        <v>10</v>
      </c>
      <c r="B216" s="2">
        <v>41843</v>
      </c>
      <c r="C216">
        <v>204</v>
      </c>
      <c r="D216">
        <v>2014</v>
      </c>
      <c r="E216">
        <v>3006</v>
      </c>
      <c r="F216" s="1">
        <v>57600</v>
      </c>
      <c r="G216" s="44">
        <f t="shared" si="65"/>
        <v>0</v>
      </c>
      <c r="H216" s="18">
        <v>42.155200000000008</v>
      </c>
      <c r="I216" s="6">
        <v>-81.495699999999999</v>
      </c>
      <c r="J216">
        <v>42.261233333333337</v>
      </c>
      <c r="K216">
        <v>-81.829883333333328</v>
      </c>
      <c r="L216">
        <v>41.621000000000002</v>
      </c>
      <c r="M216">
        <v>-81.539483333333337</v>
      </c>
      <c r="N216" s="22">
        <f t="shared" si="57"/>
        <v>0.35060172283597141</v>
      </c>
      <c r="O216" s="22">
        <f t="shared" si="58"/>
        <v>0.53599125018770977</v>
      </c>
      <c r="P216" s="22">
        <f t="shared" si="64"/>
        <v>0.35060172283597141</v>
      </c>
      <c r="Q216">
        <v>19.97</v>
      </c>
      <c r="R216">
        <v>19.97</v>
      </c>
      <c r="S216">
        <v>12.4</v>
      </c>
      <c r="T216" s="1">
        <v>5</v>
      </c>
      <c r="U216" s="1">
        <v>0</v>
      </c>
      <c r="V216">
        <v>2821</v>
      </c>
      <c r="W216">
        <v>20</v>
      </c>
      <c r="X216">
        <v>0.95</v>
      </c>
      <c r="Y216">
        <v>75</v>
      </c>
      <c r="Z216" s="28">
        <f t="shared" si="66"/>
        <v>0.25</v>
      </c>
      <c r="AA216" s="28">
        <f t="shared" si="67"/>
        <v>0.75</v>
      </c>
      <c r="AB216" s="28">
        <f t="shared" si="68"/>
        <v>0</v>
      </c>
      <c r="AC216" s="28">
        <f t="shared" si="69"/>
        <v>2.0499999999999998</v>
      </c>
      <c r="AD216" s="28">
        <f t="shared" si="70"/>
        <v>0.1</v>
      </c>
      <c r="AE216">
        <f t="shared" si="59"/>
        <v>6.6666666666666666E-2</v>
      </c>
      <c r="AF216">
        <f t="shared" si="60"/>
        <v>0.2</v>
      </c>
      <c r="AG216">
        <f t="shared" si="61"/>
        <v>0</v>
      </c>
      <c r="AH216">
        <f t="shared" si="62"/>
        <v>0.54666666666666663</v>
      </c>
      <c r="AI216">
        <f t="shared" si="63"/>
        <v>2.6666666666666668E-2</v>
      </c>
      <c r="AJ216">
        <v>5</v>
      </c>
      <c r="AK216">
        <v>15</v>
      </c>
      <c r="AL216">
        <v>0</v>
      </c>
      <c r="AM216">
        <v>41</v>
      </c>
      <c r="AN216">
        <v>2</v>
      </c>
      <c r="AO216" s="22">
        <f t="shared" si="71"/>
        <v>1.791759469228055</v>
      </c>
      <c r="AP216" s="22">
        <f t="shared" si="72"/>
        <v>2.7725887222397811</v>
      </c>
      <c r="AQ216" s="22">
        <f t="shared" si="73"/>
        <v>0</v>
      </c>
      <c r="AR216" s="22">
        <f t="shared" si="74"/>
        <v>3.7376696182833684</v>
      </c>
      <c r="AS216" s="22">
        <f t="shared" si="75"/>
        <v>1.0986122886681098</v>
      </c>
    </row>
    <row r="217" spans="1:45" x14ac:dyDescent="0.25">
      <c r="A217" s="1" t="s">
        <v>10</v>
      </c>
      <c r="B217" s="11">
        <v>42198</v>
      </c>
      <c r="C217">
        <v>194</v>
      </c>
      <c r="D217">
        <v>2015</v>
      </c>
      <c r="E217">
        <v>1001</v>
      </c>
      <c r="F217" s="1">
        <v>58100</v>
      </c>
      <c r="G217" s="44">
        <f t="shared" si="65"/>
        <v>1</v>
      </c>
      <c r="H217" s="6">
        <v>42.395666666666664</v>
      </c>
      <c r="I217" s="6">
        <v>-80.916666666666671</v>
      </c>
      <c r="J217">
        <v>42.632766666666669</v>
      </c>
      <c r="K217">
        <v>-81.01636666666667</v>
      </c>
      <c r="L217">
        <v>41.96221666666667</v>
      </c>
      <c r="M217">
        <v>-80.744650000000007</v>
      </c>
      <c r="N217" s="22">
        <f t="shared" ref="N217:N280" si="76">SQRT(((I217-K217)^2)+((H217-J217)^2))</f>
        <v>0.25720905893844831</v>
      </c>
      <c r="O217" s="22">
        <f t="shared" ref="O217:O280" si="77">SQRT(((I217-M217)^2)+((H217-L217)^2))</f>
        <v>0.46633532582370874</v>
      </c>
      <c r="P217" s="22">
        <f t="shared" si="64"/>
        <v>0.25720905893844831</v>
      </c>
      <c r="Q217">
        <v>22.19</v>
      </c>
      <c r="R217" s="1">
        <v>11.64</v>
      </c>
      <c r="S217" s="1">
        <v>21</v>
      </c>
      <c r="T217" s="1">
        <v>19</v>
      </c>
      <c r="U217" s="1">
        <v>1</v>
      </c>
      <c r="V217" s="1">
        <v>2142</v>
      </c>
      <c r="W217">
        <v>26</v>
      </c>
      <c r="X217">
        <v>1.26</v>
      </c>
      <c r="Y217">
        <v>167</v>
      </c>
      <c r="Z217" s="28">
        <f t="shared" si="66"/>
        <v>0</v>
      </c>
      <c r="AA217" s="28">
        <f t="shared" si="67"/>
        <v>0.57692307692307687</v>
      </c>
      <c r="AB217" s="28">
        <f t="shared" si="68"/>
        <v>5.8461538461538458</v>
      </c>
      <c r="AC217" s="28">
        <f t="shared" si="69"/>
        <v>0</v>
      </c>
      <c r="AD217" s="28">
        <f t="shared" si="70"/>
        <v>0</v>
      </c>
      <c r="AE217">
        <f t="shared" si="59"/>
        <v>0</v>
      </c>
      <c r="AF217">
        <f t="shared" si="60"/>
        <v>8.9820359281437126E-2</v>
      </c>
      <c r="AG217">
        <f t="shared" si="61"/>
        <v>0.91017964071856283</v>
      </c>
      <c r="AH217">
        <f t="shared" si="62"/>
        <v>0</v>
      </c>
      <c r="AI217">
        <f t="shared" si="63"/>
        <v>0</v>
      </c>
      <c r="AJ217">
        <v>0</v>
      </c>
      <c r="AK217">
        <v>15</v>
      </c>
      <c r="AL217">
        <v>152</v>
      </c>
      <c r="AM217">
        <v>0</v>
      </c>
      <c r="AN217">
        <v>0</v>
      </c>
      <c r="AO217" s="22">
        <f t="shared" si="71"/>
        <v>0</v>
      </c>
      <c r="AP217" s="22">
        <f t="shared" si="72"/>
        <v>2.7725887222397811</v>
      </c>
      <c r="AQ217" s="22">
        <f t="shared" si="73"/>
        <v>5.0304379213924353</v>
      </c>
      <c r="AR217" s="22">
        <f t="shared" si="74"/>
        <v>0</v>
      </c>
      <c r="AS217" s="22">
        <f t="shared" si="75"/>
        <v>0</v>
      </c>
    </row>
    <row r="218" spans="1:45" x14ac:dyDescent="0.25">
      <c r="A218" s="1" t="s">
        <v>10</v>
      </c>
      <c r="B218" s="11">
        <v>42198</v>
      </c>
      <c r="C218">
        <v>194</v>
      </c>
      <c r="D218">
        <v>2015</v>
      </c>
      <c r="E218">
        <v>1002</v>
      </c>
      <c r="F218" s="1">
        <v>58100</v>
      </c>
      <c r="G218" s="44">
        <f t="shared" si="65"/>
        <v>1</v>
      </c>
      <c r="H218" s="13">
        <v>42.412666666666667</v>
      </c>
      <c r="I218" s="6">
        <v>-80.923000000000002</v>
      </c>
      <c r="J218">
        <v>42.632766666666669</v>
      </c>
      <c r="K218">
        <v>-81.01636666666667</v>
      </c>
      <c r="L218">
        <v>41.96221666666667</v>
      </c>
      <c r="M218">
        <v>-80.744650000000007</v>
      </c>
      <c r="N218" s="22">
        <f t="shared" si="76"/>
        <v>0.23908438770535748</v>
      </c>
      <c r="O218" s="22">
        <f t="shared" si="77"/>
        <v>0.48447283205562203</v>
      </c>
      <c r="P218" s="22">
        <f t="shared" si="64"/>
        <v>0.23908438770535748</v>
      </c>
      <c r="Q218">
        <v>22.18</v>
      </c>
      <c r="R218" s="1">
        <v>17.36</v>
      </c>
      <c r="S218" s="1">
        <v>20.9</v>
      </c>
      <c r="T218" s="21">
        <v>15</v>
      </c>
      <c r="U218" s="21">
        <v>1</v>
      </c>
      <c r="V218" s="1">
        <v>2236</v>
      </c>
      <c r="W218">
        <v>20</v>
      </c>
      <c r="X218">
        <v>1.04</v>
      </c>
      <c r="Y218">
        <v>94</v>
      </c>
      <c r="Z218" s="28">
        <f t="shared" si="66"/>
        <v>0</v>
      </c>
      <c r="AA218" s="28">
        <f t="shared" si="67"/>
        <v>1.1499999999999999</v>
      </c>
      <c r="AB218" s="28">
        <f t="shared" si="68"/>
        <v>3.55</v>
      </c>
      <c r="AC218" s="28">
        <f t="shared" si="69"/>
        <v>0</v>
      </c>
      <c r="AD218" s="28">
        <f t="shared" si="70"/>
        <v>0</v>
      </c>
      <c r="AE218">
        <f t="shared" si="59"/>
        <v>0</v>
      </c>
      <c r="AF218">
        <f t="shared" si="60"/>
        <v>0.24468085106382978</v>
      </c>
      <c r="AG218">
        <f t="shared" si="61"/>
        <v>0.75531914893617025</v>
      </c>
      <c r="AH218">
        <f t="shared" si="62"/>
        <v>0</v>
      </c>
      <c r="AI218">
        <f t="shared" si="63"/>
        <v>0</v>
      </c>
      <c r="AJ218">
        <v>0</v>
      </c>
      <c r="AK218">
        <v>23</v>
      </c>
      <c r="AL218">
        <v>71</v>
      </c>
      <c r="AM218">
        <v>0</v>
      </c>
      <c r="AN218">
        <v>0</v>
      </c>
      <c r="AO218" s="22">
        <f t="shared" si="71"/>
        <v>0</v>
      </c>
      <c r="AP218" s="22">
        <f t="shared" si="72"/>
        <v>3.1780538303479458</v>
      </c>
      <c r="AQ218" s="22">
        <f t="shared" si="73"/>
        <v>4.2766661190160553</v>
      </c>
      <c r="AR218" s="22">
        <f t="shared" si="74"/>
        <v>0</v>
      </c>
      <c r="AS218" s="22">
        <f t="shared" si="75"/>
        <v>0</v>
      </c>
    </row>
    <row r="219" spans="1:45" x14ac:dyDescent="0.25">
      <c r="A219" s="1" t="s">
        <v>10</v>
      </c>
      <c r="B219" s="11">
        <v>42198</v>
      </c>
      <c r="C219">
        <v>194</v>
      </c>
      <c r="D219">
        <v>2015</v>
      </c>
      <c r="E219">
        <v>1003</v>
      </c>
      <c r="F219" s="1">
        <v>58100</v>
      </c>
      <c r="G219" s="44">
        <f t="shared" si="65"/>
        <v>1</v>
      </c>
      <c r="H219" s="6">
        <v>42.398333333333333</v>
      </c>
      <c r="I219" s="6">
        <v>-80.922333333333327</v>
      </c>
      <c r="J219">
        <v>42.632766666666669</v>
      </c>
      <c r="K219">
        <v>-81.01636666666667</v>
      </c>
      <c r="L219">
        <v>41.96221666666667</v>
      </c>
      <c r="M219">
        <v>-80.744650000000007</v>
      </c>
      <c r="N219" s="22">
        <f t="shared" si="76"/>
        <v>0.25258910419010205</v>
      </c>
      <c r="O219" s="22">
        <f t="shared" si="77"/>
        <v>0.4709236815970092</v>
      </c>
      <c r="P219" s="22">
        <f t="shared" si="64"/>
        <v>0.25258910419010205</v>
      </c>
      <c r="Q219">
        <v>21.92</v>
      </c>
      <c r="R219" s="1">
        <v>19.010000000000002</v>
      </c>
      <c r="S219" s="1">
        <v>20.9</v>
      </c>
      <c r="T219" s="1">
        <v>8</v>
      </c>
      <c r="U219" s="1">
        <v>0</v>
      </c>
      <c r="V219" s="1">
        <v>2319</v>
      </c>
      <c r="W219">
        <v>20</v>
      </c>
      <c r="X219">
        <v>0.99</v>
      </c>
      <c r="Y219">
        <v>67</v>
      </c>
      <c r="Z219" s="28">
        <f t="shared" si="66"/>
        <v>0</v>
      </c>
      <c r="AA219" s="28">
        <f t="shared" si="67"/>
        <v>3.2</v>
      </c>
      <c r="AB219" s="28">
        <f t="shared" si="68"/>
        <v>0.15</v>
      </c>
      <c r="AC219" s="28">
        <f t="shared" si="69"/>
        <v>0</v>
      </c>
      <c r="AD219" s="28">
        <f t="shared" si="70"/>
        <v>0</v>
      </c>
      <c r="AE219">
        <f t="shared" si="59"/>
        <v>0</v>
      </c>
      <c r="AF219">
        <f t="shared" si="60"/>
        <v>0.95522388059701491</v>
      </c>
      <c r="AG219">
        <f t="shared" si="61"/>
        <v>4.4776119402985072E-2</v>
      </c>
      <c r="AH219">
        <f t="shared" si="62"/>
        <v>0</v>
      </c>
      <c r="AI219">
        <f t="shared" si="63"/>
        <v>0</v>
      </c>
      <c r="AJ219">
        <v>0</v>
      </c>
      <c r="AK219">
        <v>64</v>
      </c>
      <c r="AL219">
        <v>3</v>
      </c>
      <c r="AM219">
        <v>0</v>
      </c>
      <c r="AN219">
        <v>0</v>
      </c>
      <c r="AO219" s="22">
        <f t="shared" si="71"/>
        <v>0</v>
      </c>
      <c r="AP219" s="22">
        <f t="shared" si="72"/>
        <v>4.1743872698956368</v>
      </c>
      <c r="AQ219" s="22">
        <f t="shared" si="73"/>
        <v>1.3862943611198906</v>
      </c>
      <c r="AR219" s="22">
        <f t="shared" si="74"/>
        <v>0</v>
      </c>
      <c r="AS219" s="22">
        <f t="shared" si="75"/>
        <v>0</v>
      </c>
    </row>
    <row r="220" spans="1:45" x14ac:dyDescent="0.25">
      <c r="A220" s="1" t="s">
        <v>10</v>
      </c>
      <c r="B220" s="11">
        <v>42198</v>
      </c>
      <c r="C220">
        <v>194</v>
      </c>
      <c r="D220">
        <v>2015</v>
      </c>
      <c r="E220">
        <v>1004</v>
      </c>
      <c r="F220" s="1">
        <v>58100</v>
      </c>
      <c r="G220" s="44">
        <f t="shared" si="65"/>
        <v>1</v>
      </c>
      <c r="H220" s="6">
        <v>42.421666666666667</v>
      </c>
      <c r="I220" s="6">
        <v>-80.917166666666674</v>
      </c>
      <c r="J220">
        <v>42.632766666666669</v>
      </c>
      <c r="K220">
        <v>-81.01636666666667</v>
      </c>
      <c r="L220">
        <v>41.96221666666667</v>
      </c>
      <c r="M220">
        <v>-80.744650000000007</v>
      </c>
      <c r="N220" s="22">
        <f t="shared" si="76"/>
        <v>0.23324632901720022</v>
      </c>
      <c r="O220" s="22">
        <f t="shared" si="77"/>
        <v>0.49077113075014389</v>
      </c>
      <c r="P220" s="22">
        <f t="shared" si="64"/>
        <v>0.23324632901720022</v>
      </c>
      <c r="Q220">
        <v>21.84</v>
      </c>
      <c r="R220" s="1">
        <v>13.48</v>
      </c>
      <c r="S220" s="1">
        <v>20.7</v>
      </c>
      <c r="T220" s="1">
        <v>19</v>
      </c>
      <c r="U220" s="1">
        <v>1</v>
      </c>
      <c r="V220" s="1">
        <v>2358</v>
      </c>
      <c r="W220">
        <v>20</v>
      </c>
      <c r="X220">
        <v>0.94</v>
      </c>
      <c r="Y220">
        <v>61</v>
      </c>
      <c r="Z220" s="28">
        <f t="shared" si="66"/>
        <v>0</v>
      </c>
      <c r="AA220" s="28">
        <f t="shared" si="67"/>
        <v>0.45</v>
      </c>
      <c r="AB220" s="28">
        <f t="shared" si="68"/>
        <v>2.5</v>
      </c>
      <c r="AC220" s="28">
        <f t="shared" si="69"/>
        <v>0</v>
      </c>
      <c r="AD220" s="28">
        <f t="shared" si="70"/>
        <v>0</v>
      </c>
      <c r="AE220">
        <f t="shared" si="59"/>
        <v>0</v>
      </c>
      <c r="AF220">
        <f t="shared" si="60"/>
        <v>0.14754098360655737</v>
      </c>
      <c r="AG220">
        <f t="shared" si="61"/>
        <v>0.81967213114754101</v>
      </c>
      <c r="AH220">
        <f t="shared" si="62"/>
        <v>0</v>
      </c>
      <c r="AI220">
        <f t="shared" si="63"/>
        <v>0</v>
      </c>
      <c r="AJ220">
        <v>0</v>
      </c>
      <c r="AK220">
        <v>9</v>
      </c>
      <c r="AL220">
        <v>50</v>
      </c>
      <c r="AM220">
        <v>0</v>
      </c>
      <c r="AN220">
        <v>0</v>
      </c>
      <c r="AO220" s="22">
        <f t="shared" si="71"/>
        <v>0</v>
      </c>
      <c r="AP220" s="22">
        <f t="shared" si="72"/>
        <v>2.3025850929940459</v>
      </c>
      <c r="AQ220" s="22">
        <f t="shared" si="73"/>
        <v>3.9318256327243257</v>
      </c>
      <c r="AR220" s="22">
        <f t="shared" si="74"/>
        <v>0</v>
      </c>
      <c r="AS220" s="22">
        <f t="shared" si="75"/>
        <v>0</v>
      </c>
    </row>
    <row r="221" spans="1:45" x14ac:dyDescent="0.25">
      <c r="A221" s="1" t="s">
        <v>10</v>
      </c>
      <c r="B221" s="11">
        <v>42199</v>
      </c>
      <c r="C221">
        <v>195</v>
      </c>
      <c r="D221">
        <v>2015</v>
      </c>
      <c r="E221">
        <v>1005</v>
      </c>
      <c r="F221" s="1">
        <v>58100</v>
      </c>
      <c r="G221" s="44">
        <f t="shared" si="65"/>
        <v>1</v>
      </c>
      <c r="H221" s="6">
        <v>42.55</v>
      </c>
      <c r="I221" s="6">
        <v>-80.980999999999995</v>
      </c>
      <c r="J221">
        <v>42.632766666666669</v>
      </c>
      <c r="K221">
        <v>-81.01636666666667</v>
      </c>
      <c r="L221">
        <v>41.96221666666667</v>
      </c>
      <c r="M221">
        <v>-80.744650000000007</v>
      </c>
      <c r="N221" s="22">
        <f t="shared" si="76"/>
        <v>9.0006234351980574E-2</v>
      </c>
      <c r="O221" s="22">
        <f t="shared" si="77"/>
        <v>0.63352235117983891</v>
      </c>
      <c r="P221" s="22">
        <f t="shared" si="64"/>
        <v>9.0006234351980574E-2</v>
      </c>
      <c r="Q221">
        <v>21.37</v>
      </c>
      <c r="R221" s="1">
        <v>15.58</v>
      </c>
      <c r="S221" s="1">
        <v>18.100000000000001</v>
      </c>
      <c r="T221" s="1">
        <v>16</v>
      </c>
      <c r="U221" s="1">
        <v>1</v>
      </c>
      <c r="V221" s="1">
        <v>2526</v>
      </c>
      <c r="W221">
        <v>20</v>
      </c>
      <c r="X221">
        <v>1</v>
      </c>
      <c r="Y221">
        <v>583</v>
      </c>
      <c r="Z221" s="28">
        <f t="shared" si="66"/>
        <v>0</v>
      </c>
      <c r="AA221" s="28">
        <f t="shared" si="67"/>
        <v>28.85</v>
      </c>
      <c r="AB221" s="28">
        <f t="shared" si="68"/>
        <v>0.2</v>
      </c>
      <c r="AC221" s="28">
        <f t="shared" si="69"/>
        <v>0</v>
      </c>
      <c r="AD221" s="28">
        <f t="shared" si="70"/>
        <v>0.05</v>
      </c>
      <c r="AE221">
        <f t="shared" si="59"/>
        <v>0</v>
      </c>
      <c r="AF221">
        <f t="shared" si="60"/>
        <v>0.98970840480274447</v>
      </c>
      <c r="AG221">
        <f t="shared" si="61"/>
        <v>6.8610634648370496E-3</v>
      </c>
      <c r="AH221">
        <f t="shared" si="62"/>
        <v>0</v>
      </c>
      <c r="AI221">
        <f t="shared" si="63"/>
        <v>1.7152658662092624E-3</v>
      </c>
      <c r="AJ221">
        <v>0</v>
      </c>
      <c r="AK221">
        <v>577</v>
      </c>
      <c r="AL221">
        <v>4</v>
      </c>
      <c r="AM221">
        <v>0</v>
      </c>
      <c r="AN221">
        <v>1</v>
      </c>
      <c r="AO221" s="22">
        <f t="shared" si="71"/>
        <v>0</v>
      </c>
      <c r="AP221" s="22">
        <f t="shared" si="72"/>
        <v>6.3595738686723777</v>
      </c>
      <c r="AQ221" s="22">
        <f t="shared" si="73"/>
        <v>1.6094379124341003</v>
      </c>
      <c r="AR221" s="22">
        <f t="shared" si="74"/>
        <v>0</v>
      </c>
      <c r="AS221" s="22">
        <f t="shared" si="75"/>
        <v>0.69314718055994529</v>
      </c>
    </row>
    <row r="222" spans="1:45" x14ac:dyDescent="0.25">
      <c r="A222" s="1" t="s">
        <v>10</v>
      </c>
      <c r="B222" s="11">
        <v>42199</v>
      </c>
      <c r="C222">
        <v>195</v>
      </c>
      <c r="D222">
        <v>2015</v>
      </c>
      <c r="E222">
        <v>1006</v>
      </c>
      <c r="F222" s="1">
        <v>58100</v>
      </c>
      <c r="G222" s="44">
        <f t="shared" si="65"/>
        <v>1</v>
      </c>
      <c r="H222" s="6">
        <v>42.566166666666668</v>
      </c>
      <c r="I222" s="6">
        <v>-80.989333333333335</v>
      </c>
      <c r="J222">
        <v>42.632766666666669</v>
      </c>
      <c r="K222">
        <v>-81.01636666666667</v>
      </c>
      <c r="L222">
        <v>41.96221666666667</v>
      </c>
      <c r="M222">
        <v>-80.744650000000007</v>
      </c>
      <c r="N222" s="22">
        <f t="shared" si="76"/>
        <v>7.1877403341463114E-2</v>
      </c>
      <c r="O222" s="22">
        <f t="shared" si="77"/>
        <v>0.65163297653748709</v>
      </c>
      <c r="P222" s="22">
        <f t="shared" si="64"/>
        <v>7.1877403341463114E-2</v>
      </c>
      <c r="Q222">
        <v>21.34</v>
      </c>
      <c r="R222" s="1">
        <v>16.25</v>
      </c>
      <c r="S222" s="1">
        <v>18.100000000000001</v>
      </c>
      <c r="T222" s="1">
        <v>13</v>
      </c>
      <c r="U222" s="1">
        <v>0</v>
      </c>
      <c r="V222" s="1">
        <v>2608</v>
      </c>
      <c r="W222">
        <v>20</v>
      </c>
      <c r="X222">
        <v>0.99</v>
      </c>
      <c r="Y222">
        <v>424</v>
      </c>
      <c r="Z222" s="28">
        <f t="shared" si="66"/>
        <v>0</v>
      </c>
      <c r="AA222" s="28">
        <f t="shared" si="67"/>
        <v>21.1</v>
      </c>
      <c r="AB222" s="28">
        <f t="shared" si="68"/>
        <v>0.1</v>
      </c>
      <c r="AC222" s="28">
        <f t="shared" si="69"/>
        <v>0</v>
      </c>
      <c r="AD222" s="28">
        <f t="shared" si="70"/>
        <v>0</v>
      </c>
      <c r="AE222">
        <f t="shared" si="59"/>
        <v>0</v>
      </c>
      <c r="AF222">
        <f t="shared" si="60"/>
        <v>0.99528301886792447</v>
      </c>
      <c r="AG222">
        <f t="shared" si="61"/>
        <v>4.7169811320754715E-3</v>
      </c>
      <c r="AH222">
        <f t="shared" si="62"/>
        <v>0</v>
      </c>
      <c r="AI222">
        <f t="shared" si="63"/>
        <v>0</v>
      </c>
      <c r="AJ222">
        <v>0</v>
      </c>
      <c r="AK222">
        <v>422</v>
      </c>
      <c r="AL222">
        <v>2</v>
      </c>
      <c r="AM222">
        <v>0</v>
      </c>
      <c r="AN222">
        <v>0</v>
      </c>
      <c r="AO222" s="22">
        <f t="shared" si="71"/>
        <v>0</v>
      </c>
      <c r="AP222" s="22">
        <f t="shared" si="72"/>
        <v>6.0473721790462776</v>
      </c>
      <c r="AQ222" s="22">
        <f t="shared" si="73"/>
        <v>1.0986122886681098</v>
      </c>
      <c r="AR222" s="22">
        <f t="shared" si="74"/>
        <v>0</v>
      </c>
      <c r="AS222" s="22">
        <f t="shared" si="75"/>
        <v>0</v>
      </c>
    </row>
    <row r="223" spans="1:45" x14ac:dyDescent="0.25">
      <c r="A223" s="1" t="s">
        <v>10</v>
      </c>
      <c r="B223" s="11">
        <v>42199</v>
      </c>
      <c r="C223">
        <v>195</v>
      </c>
      <c r="D223">
        <v>2015</v>
      </c>
      <c r="E223">
        <v>1007</v>
      </c>
      <c r="F223" s="1">
        <v>58100</v>
      </c>
      <c r="G223" s="44">
        <f t="shared" si="65"/>
        <v>1</v>
      </c>
      <c r="H223" s="6">
        <v>42.552666666666667</v>
      </c>
      <c r="I223" s="6">
        <v>-80.984999999999999</v>
      </c>
      <c r="J223">
        <v>42.632766666666669</v>
      </c>
      <c r="K223">
        <v>-81.01636666666667</v>
      </c>
      <c r="L223">
        <v>41.96221666666667</v>
      </c>
      <c r="M223">
        <v>-80.744650000000007</v>
      </c>
      <c r="N223" s="22">
        <f t="shared" si="76"/>
        <v>8.6022542265259044E-2</v>
      </c>
      <c r="O223" s="22">
        <f t="shared" si="77"/>
        <v>0.63749456860430809</v>
      </c>
      <c r="P223" s="22">
        <f t="shared" si="64"/>
        <v>8.6022542265259044E-2</v>
      </c>
      <c r="Q223">
        <v>21.24</v>
      </c>
      <c r="R223" s="1">
        <v>19.21</v>
      </c>
      <c r="S223" s="1">
        <v>18.100000000000001</v>
      </c>
      <c r="T223" s="1">
        <v>10</v>
      </c>
      <c r="U223" s="1">
        <v>0</v>
      </c>
      <c r="V223" s="1">
        <v>2646</v>
      </c>
      <c r="W223">
        <v>20</v>
      </c>
      <c r="X223">
        <v>1</v>
      </c>
      <c r="Y223">
        <v>685</v>
      </c>
      <c r="Z223" s="28">
        <f t="shared" si="66"/>
        <v>0</v>
      </c>
      <c r="AA223" s="28">
        <f t="shared" si="67"/>
        <v>34.049999999999997</v>
      </c>
      <c r="AB223" s="28">
        <f t="shared" si="68"/>
        <v>0.1</v>
      </c>
      <c r="AC223" s="28">
        <f t="shared" si="69"/>
        <v>0</v>
      </c>
      <c r="AD223" s="28">
        <f t="shared" si="70"/>
        <v>0</v>
      </c>
      <c r="AE223">
        <f t="shared" si="59"/>
        <v>0</v>
      </c>
      <c r="AF223">
        <f t="shared" si="60"/>
        <v>0.99416058394160589</v>
      </c>
      <c r="AG223">
        <f t="shared" si="61"/>
        <v>2.9197080291970801E-3</v>
      </c>
      <c r="AH223">
        <f t="shared" si="62"/>
        <v>0</v>
      </c>
      <c r="AI223">
        <f t="shared" si="63"/>
        <v>0</v>
      </c>
      <c r="AJ223">
        <v>0</v>
      </c>
      <c r="AK223">
        <v>681</v>
      </c>
      <c r="AL223">
        <v>2</v>
      </c>
      <c r="AM223">
        <v>0</v>
      </c>
      <c r="AN223">
        <v>0</v>
      </c>
      <c r="AO223" s="22">
        <f t="shared" si="71"/>
        <v>0</v>
      </c>
      <c r="AP223" s="22">
        <f t="shared" si="72"/>
        <v>6.5250296578434623</v>
      </c>
      <c r="AQ223" s="22">
        <f t="shared" si="73"/>
        <v>1.0986122886681098</v>
      </c>
      <c r="AR223" s="22">
        <f t="shared" si="74"/>
        <v>0</v>
      </c>
      <c r="AS223" s="22">
        <f t="shared" si="75"/>
        <v>0</v>
      </c>
    </row>
    <row r="224" spans="1:45" x14ac:dyDescent="0.25">
      <c r="A224" s="1" t="s">
        <v>10</v>
      </c>
      <c r="B224" s="11">
        <v>42199</v>
      </c>
      <c r="C224">
        <v>195</v>
      </c>
      <c r="D224">
        <v>2015</v>
      </c>
      <c r="E224">
        <v>1008</v>
      </c>
      <c r="F224" s="1">
        <v>58100</v>
      </c>
      <c r="G224" s="44">
        <f t="shared" si="65"/>
        <v>1</v>
      </c>
      <c r="H224" s="6">
        <v>42.619166666666665</v>
      </c>
      <c r="I224" s="6">
        <v>-81.00366666666666</v>
      </c>
      <c r="J224">
        <v>42.632766666666669</v>
      </c>
      <c r="K224">
        <v>-81.01636666666667</v>
      </c>
      <c r="L224">
        <v>41.96221666666667</v>
      </c>
      <c r="M224">
        <v>-80.744650000000007</v>
      </c>
      <c r="N224" s="22">
        <f t="shared" si="76"/>
        <v>1.8607794065937665E-2</v>
      </c>
      <c r="O224" s="22">
        <f t="shared" si="77"/>
        <v>0.70616778184160844</v>
      </c>
      <c r="P224" s="22">
        <f t="shared" si="64"/>
        <v>1.8607794065937665E-2</v>
      </c>
      <c r="Q224">
        <v>20.74</v>
      </c>
      <c r="R224" s="1">
        <v>16.25</v>
      </c>
      <c r="S224" s="1">
        <v>14</v>
      </c>
      <c r="T224" s="1">
        <v>8</v>
      </c>
      <c r="U224" s="1">
        <v>0</v>
      </c>
      <c r="V224" s="1">
        <v>2745</v>
      </c>
      <c r="W224">
        <v>20</v>
      </c>
      <c r="X224">
        <v>1</v>
      </c>
      <c r="Y224">
        <v>517</v>
      </c>
      <c r="Z224" s="28">
        <f t="shared" si="66"/>
        <v>0</v>
      </c>
      <c r="AA224" s="28">
        <f t="shared" si="67"/>
        <v>24.75</v>
      </c>
      <c r="AB224" s="28">
        <f t="shared" si="68"/>
        <v>0.85</v>
      </c>
      <c r="AC224" s="28">
        <f t="shared" si="69"/>
        <v>0.05</v>
      </c>
      <c r="AD224" s="28">
        <f t="shared" si="70"/>
        <v>0.05</v>
      </c>
      <c r="AE224">
        <f t="shared" si="59"/>
        <v>0</v>
      </c>
      <c r="AF224">
        <f t="shared" si="60"/>
        <v>0.95744680851063835</v>
      </c>
      <c r="AG224">
        <f t="shared" si="61"/>
        <v>3.2882011605415859E-2</v>
      </c>
      <c r="AH224">
        <f t="shared" si="62"/>
        <v>1.9342359767891683E-3</v>
      </c>
      <c r="AI224">
        <f t="shared" si="63"/>
        <v>1.9342359767891683E-3</v>
      </c>
      <c r="AJ224">
        <v>0</v>
      </c>
      <c r="AK224">
        <v>495</v>
      </c>
      <c r="AL224">
        <v>17</v>
      </c>
      <c r="AM224">
        <v>1</v>
      </c>
      <c r="AN224">
        <v>1</v>
      </c>
      <c r="AO224" s="22">
        <f t="shared" si="71"/>
        <v>0</v>
      </c>
      <c r="AP224" s="22">
        <f t="shared" si="72"/>
        <v>6.2065759267249279</v>
      </c>
      <c r="AQ224" s="22">
        <f t="shared" si="73"/>
        <v>2.8903717578961645</v>
      </c>
      <c r="AR224" s="22">
        <f t="shared" si="74"/>
        <v>0.69314718055994529</v>
      </c>
      <c r="AS224" s="22">
        <f t="shared" si="75"/>
        <v>0.69314718055994529</v>
      </c>
    </row>
    <row r="225" spans="1:45" x14ac:dyDescent="0.25">
      <c r="A225" s="1" t="s">
        <v>10</v>
      </c>
      <c r="B225" s="11">
        <v>42199</v>
      </c>
      <c r="C225">
        <v>195</v>
      </c>
      <c r="D225">
        <v>2015</v>
      </c>
      <c r="E225">
        <v>1009</v>
      </c>
      <c r="F225" s="1">
        <v>58100</v>
      </c>
      <c r="G225" s="44">
        <f t="shared" si="65"/>
        <v>1</v>
      </c>
      <c r="H225" s="13">
        <v>42.621499999999997</v>
      </c>
      <c r="I225" s="6">
        <v>-81.003833333333333</v>
      </c>
      <c r="J225">
        <v>42.632766666666669</v>
      </c>
      <c r="K225">
        <v>-81.01636666666667</v>
      </c>
      <c r="L225">
        <v>41.96221666666667</v>
      </c>
      <c r="M225">
        <v>-80.744650000000007</v>
      </c>
      <c r="N225" s="22">
        <f t="shared" si="76"/>
        <v>1.6852958856605069E-2</v>
      </c>
      <c r="O225" s="22">
        <f t="shared" si="77"/>
        <v>0.70839996745403444</v>
      </c>
      <c r="P225" s="22">
        <f t="shared" si="64"/>
        <v>1.6852958856605069E-2</v>
      </c>
      <c r="Q225">
        <v>20.66</v>
      </c>
      <c r="R225" s="1">
        <v>16.32</v>
      </c>
      <c r="S225" s="1">
        <v>13.9</v>
      </c>
      <c r="T225" s="21">
        <v>7</v>
      </c>
      <c r="U225" s="21">
        <v>0</v>
      </c>
      <c r="V225" s="1">
        <v>2831</v>
      </c>
      <c r="W225">
        <v>20</v>
      </c>
      <c r="X225">
        <v>0.94</v>
      </c>
      <c r="Y225">
        <v>967</v>
      </c>
      <c r="Z225" s="28">
        <f t="shared" si="66"/>
        <v>0</v>
      </c>
      <c r="AA225" s="28">
        <f t="shared" si="67"/>
        <v>13.05</v>
      </c>
      <c r="AB225" s="28">
        <f t="shared" si="68"/>
        <v>35.25</v>
      </c>
      <c r="AC225" s="28">
        <f t="shared" si="69"/>
        <v>0</v>
      </c>
      <c r="AD225" s="28">
        <f t="shared" si="70"/>
        <v>0</v>
      </c>
      <c r="AE225">
        <f t="shared" si="59"/>
        <v>0</v>
      </c>
      <c r="AF225">
        <f t="shared" si="60"/>
        <v>0.26990692864529475</v>
      </c>
      <c r="AG225">
        <f t="shared" si="61"/>
        <v>0.72905894519131331</v>
      </c>
      <c r="AH225">
        <f t="shared" si="62"/>
        <v>0</v>
      </c>
      <c r="AI225">
        <f t="shared" si="63"/>
        <v>0</v>
      </c>
      <c r="AJ225">
        <v>0</v>
      </c>
      <c r="AK225">
        <v>261</v>
      </c>
      <c r="AL225">
        <v>705</v>
      </c>
      <c r="AM225">
        <v>0</v>
      </c>
      <c r="AN225">
        <v>0</v>
      </c>
      <c r="AO225" s="22">
        <f t="shared" si="71"/>
        <v>0</v>
      </c>
      <c r="AP225" s="22">
        <f t="shared" si="72"/>
        <v>5.5683445037610966</v>
      </c>
      <c r="AQ225" s="22">
        <f t="shared" si="73"/>
        <v>6.5596152374932419</v>
      </c>
      <c r="AR225" s="22">
        <f t="shared" si="74"/>
        <v>0</v>
      </c>
      <c r="AS225" s="22">
        <f t="shared" si="75"/>
        <v>0</v>
      </c>
    </row>
    <row r="226" spans="1:45" x14ac:dyDescent="0.25">
      <c r="A226" s="1" t="s">
        <v>10</v>
      </c>
      <c r="B226" s="11">
        <v>42199</v>
      </c>
      <c r="C226">
        <v>195</v>
      </c>
      <c r="D226">
        <v>2015</v>
      </c>
      <c r="E226">
        <v>2001</v>
      </c>
      <c r="F226" s="1">
        <v>57850</v>
      </c>
      <c r="G226" s="44">
        <f t="shared" si="65"/>
        <v>1</v>
      </c>
      <c r="H226" s="6">
        <v>42.340666666666664</v>
      </c>
      <c r="I226" s="6">
        <v>-81.371499999999997</v>
      </c>
      <c r="J226">
        <v>42.566916666666664</v>
      </c>
      <c r="K226">
        <v>-81.47208333333333</v>
      </c>
      <c r="L226">
        <v>41.819366666666667</v>
      </c>
      <c r="M226">
        <v>-81.155166666666673</v>
      </c>
      <c r="N226" s="22">
        <f t="shared" si="76"/>
        <v>0.24760062488702339</v>
      </c>
      <c r="O226" s="22">
        <f t="shared" si="77"/>
        <v>0.56440570612911378</v>
      </c>
      <c r="P226" s="22">
        <f t="shared" si="64"/>
        <v>0.24760062488702339</v>
      </c>
      <c r="Q226">
        <v>22.19</v>
      </c>
      <c r="R226" s="1">
        <v>11.64</v>
      </c>
      <c r="S226" s="1">
        <v>22.5</v>
      </c>
      <c r="T226" s="1">
        <v>20</v>
      </c>
      <c r="U226" s="1">
        <v>1</v>
      </c>
      <c r="V226" s="1">
        <v>2134</v>
      </c>
      <c r="W226">
        <v>20</v>
      </c>
      <c r="X226">
        <v>0.97</v>
      </c>
      <c r="Y226">
        <v>386</v>
      </c>
      <c r="Z226" s="28">
        <f t="shared" si="66"/>
        <v>0</v>
      </c>
      <c r="AA226" s="28">
        <f t="shared" si="67"/>
        <v>11.3</v>
      </c>
      <c r="AB226" s="28">
        <f t="shared" si="68"/>
        <v>8</v>
      </c>
      <c r="AC226" s="28">
        <f t="shared" si="69"/>
        <v>0</v>
      </c>
      <c r="AD226" s="28">
        <f t="shared" si="70"/>
        <v>0</v>
      </c>
      <c r="AE226">
        <f t="shared" si="59"/>
        <v>0</v>
      </c>
      <c r="AF226">
        <f t="shared" si="60"/>
        <v>0.58549222797927458</v>
      </c>
      <c r="AG226">
        <f t="shared" si="61"/>
        <v>0.41450777202072536</v>
      </c>
      <c r="AH226">
        <f t="shared" si="62"/>
        <v>0</v>
      </c>
      <c r="AI226">
        <f t="shared" si="63"/>
        <v>0</v>
      </c>
      <c r="AJ226">
        <v>0</v>
      </c>
      <c r="AK226">
        <v>226</v>
      </c>
      <c r="AL226">
        <v>160</v>
      </c>
      <c r="AM226">
        <v>0</v>
      </c>
      <c r="AN226">
        <v>0</v>
      </c>
      <c r="AO226" s="22">
        <f t="shared" si="71"/>
        <v>0</v>
      </c>
      <c r="AP226" s="22">
        <f t="shared" si="72"/>
        <v>5.4249500174814029</v>
      </c>
      <c r="AQ226" s="22">
        <f t="shared" si="73"/>
        <v>5.0814043649844631</v>
      </c>
      <c r="AR226" s="22">
        <f t="shared" si="74"/>
        <v>0</v>
      </c>
      <c r="AS226" s="22">
        <f t="shared" si="75"/>
        <v>0</v>
      </c>
    </row>
    <row r="227" spans="1:45" x14ac:dyDescent="0.25">
      <c r="A227" s="1" t="s">
        <v>10</v>
      </c>
      <c r="B227" s="11">
        <v>42199</v>
      </c>
      <c r="C227">
        <v>195</v>
      </c>
      <c r="D227">
        <v>2015</v>
      </c>
      <c r="E227">
        <v>2002</v>
      </c>
      <c r="F227" s="1">
        <v>57850</v>
      </c>
      <c r="G227" s="44">
        <f t="shared" si="65"/>
        <v>1</v>
      </c>
      <c r="H227" s="6">
        <v>42.344333333333331</v>
      </c>
      <c r="I227" s="6">
        <v>-81.379333333333335</v>
      </c>
      <c r="J227">
        <v>42.566916666666664</v>
      </c>
      <c r="K227">
        <v>-81.47208333333333</v>
      </c>
      <c r="L227">
        <v>41.819366666666667</v>
      </c>
      <c r="M227">
        <v>-81.155166666666673</v>
      </c>
      <c r="N227" s="22">
        <f t="shared" si="76"/>
        <v>0.24113461546981721</v>
      </c>
      <c r="O227" s="22">
        <f t="shared" si="77"/>
        <v>0.5708245751152895</v>
      </c>
      <c r="P227" s="22">
        <f t="shared" si="64"/>
        <v>0.24113461546981721</v>
      </c>
      <c r="Q227">
        <v>20.41</v>
      </c>
      <c r="R227" s="1">
        <v>15.01</v>
      </c>
      <c r="S227" s="1">
        <v>22.4</v>
      </c>
      <c r="T227" s="1">
        <v>16</v>
      </c>
      <c r="U227" s="1">
        <v>1</v>
      </c>
      <c r="V227" s="1">
        <v>2227</v>
      </c>
      <c r="W227">
        <v>20</v>
      </c>
      <c r="X227">
        <v>1.01</v>
      </c>
      <c r="Y227">
        <v>337</v>
      </c>
      <c r="Z227" s="28">
        <f t="shared" si="66"/>
        <v>0</v>
      </c>
      <c r="AA227" s="28">
        <f t="shared" si="67"/>
        <v>7.35</v>
      </c>
      <c r="AB227" s="28">
        <f t="shared" si="68"/>
        <v>9.4499999999999993</v>
      </c>
      <c r="AC227" s="28">
        <f t="shared" si="69"/>
        <v>0</v>
      </c>
      <c r="AD227" s="28">
        <f t="shared" si="70"/>
        <v>0</v>
      </c>
      <c r="AE227">
        <f t="shared" si="59"/>
        <v>0</v>
      </c>
      <c r="AF227">
        <f t="shared" si="60"/>
        <v>0.43620178041543028</v>
      </c>
      <c r="AG227">
        <f t="shared" si="61"/>
        <v>0.56083086053412468</v>
      </c>
      <c r="AH227">
        <f t="shared" si="62"/>
        <v>0</v>
      </c>
      <c r="AI227">
        <f t="shared" si="63"/>
        <v>0</v>
      </c>
      <c r="AJ227">
        <v>0</v>
      </c>
      <c r="AK227">
        <v>147</v>
      </c>
      <c r="AL227">
        <v>189</v>
      </c>
      <c r="AM227">
        <v>0</v>
      </c>
      <c r="AN227">
        <v>0</v>
      </c>
      <c r="AO227" s="22">
        <f t="shared" si="71"/>
        <v>0</v>
      </c>
      <c r="AP227" s="22">
        <f t="shared" si="72"/>
        <v>4.9972122737641147</v>
      </c>
      <c r="AQ227" s="22">
        <f t="shared" si="73"/>
        <v>5.2470240721604862</v>
      </c>
      <c r="AR227" s="22">
        <f t="shared" si="74"/>
        <v>0</v>
      </c>
      <c r="AS227" s="22">
        <f t="shared" si="75"/>
        <v>0</v>
      </c>
    </row>
    <row r="228" spans="1:45" x14ac:dyDescent="0.25">
      <c r="A228" s="1" t="s">
        <v>10</v>
      </c>
      <c r="B228" s="11">
        <v>42199</v>
      </c>
      <c r="C228">
        <v>195</v>
      </c>
      <c r="D228">
        <v>2015</v>
      </c>
      <c r="E228">
        <v>2003</v>
      </c>
      <c r="F228" s="1">
        <v>57850</v>
      </c>
      <c r="G228" s="44">
        <f t="shared" si="65"/>
        <v>1</v>
      </c>
      <c r="H228" s="6">
        <v>42.349666666666664</v>
      </c>
      <c r="I228" s="6">
        <v>-81.372500000000002</v>
      </c>
      <c r="J228">
        <v>42.566916666666664</v>
      </c>
      <c r="K228">
        <v>-81.47208333333333</v>
      </c>
      <c r="L228">
        <v>41.819366666666667</v>
      </c>
      <c r="M228">
        <v>-81.155166666666673</v>
      </c>
      <c r="N228" s="22">
        <f t="shared" si="76"/>
        <v>0.23898619788133518</v>
      </c>
      <c r="O228" s="22">
        <f t="shared" si="77"/>
        <v>0.57310720443715635</v>
      </c>
      <c r="P228" s="22">
        <f t="shared" si="64"/>
        <v>0.23898619788133518</v>
      </c>
      <c r="Q228">
        <v>20.46</v>
      </c>
      <c r="R228" s="1">
        <v>19.12</v>
      </c>
      <c r="S228" s="1">
        <v>22.3</v>
      </c>
      <c r="T228" s="1">
        <v>8</v>
      </c>
      <c r="U228" s="1">
        <v>0</v>
      </c>
      <c r="V228" s="1">
        <v>2332</v>
      </c>
      <c r="W228">
        <v>20</v>
      </c>
      <c r="X228">
        <v>0.93</v>
      </c>
      <c r="Y228">
        <v>160</v>
      </c>
      <c r="Z228" s="28">
        <f t="shared" si="66"/>
        <v>0</v>
      </c>
      <c r="AA228" s="28">
        <f t="shared" si="67"/>
        <v>7.95</v>
      </c>
      <c r="AB228" s="28">
        <f t="shared" si="68"/>
        <v>0</v>
      </c>
      <c r="AC228" s="28">
        <f t="shared" si="69"/>
        <v>0</v>
      </c>
      <c r="AD228" s="28">
        <f t="shared" si="70"/>
        <v>0</v>
      </c>
      <c r="AE228">
        <f t="shared" si="59"/>
        <v>0</v>
      </c>
      <c r="AF228">
        <f t="shared" si="60"/>
        <v>0.99375000000000002</v>
      </c>
      <c r="AG228">
        <f t="shared" si="61"/>
        <v>0</v>
      </c>
      <c r="AH228">
        <f t="shared" si="62"/>
        <v>0</v>
      </c>
      <c r="AI228">
        <f t="shared" si="63"/>
        <v>0</v>
      </c>
      <c r="AJ228">
        <v>0</v>
      </c>
      <c r="AK228">
        <v>159</v>
      </c>
      <c r="AL228">
        <v>0</v>
      </c>
      <c r="AM228">
        <v>0</v>
      </c>
      <c r="AN228">
        <v>0</v>
      </c>
      <c r="AO228" s="22">
        <f t="shared" si="71"/>
        <v>0</v>
      </c>
      <c r="AP228" s="22">
        <f t="shared" si="72"/>
        <v>5.0751738152338266</v>
      </c>
      <c r="AQ228" s="22">
        <f t="shared" si="73"/>
        <v>0</v>
      </c>
      <c r="AR228" s="22">
        <f t="shared" si="74"/>
        <v>0</v>
      </c>
      <c r="AS228" s="22">
        <f t="shared" si="75"/>
        <v>0</v>
      </c>
    </row>
    <row r="229" spans="1:45" x14ac:dyDescent="0.25">
      <c r="A229" s="1" t="s">
        <v>10</v>
      </c>
      <c r="B229" s="11">
        <v>42200</v>
      </c>
      <c r="C229">
        <v>196</v>
      </c>
      <c r="D229">
        <v>2015</v>
      </c>
      <c r="E229">
        <v>2004</v>
      </c>
      <c r="F229" s="1">
        <v>57850</v>
      </c>
      <c r="G229" s="44">
        <f t="shared" si="65"/>
        <v>1</v>
      </c>
      <c r="H229" s="6">
        <v>42.343166666666669</v>
      </c>
      <c r="I229" s="6">
        <v>-81.37233333333333</v>
      </c>
      <c r="J229">
        <v>42.566916666666664</v>
      </c>
      <c r="K229">
        <v>-81.47208333333333</v>
      </c>
      <c r="L229">
        <v>41.819366666666667</v>
      </c>
      <c r="M229">
        <v>-81.155166666666673</v>
      </c>
      <c r="N229" s="22">
        <f t="shared" si="76"/>
        <v>0.24497780511711262</v>
      </c>
      <c r="O229" s="22">
        <f t="shared" si="77"/>
        <v>0.56703421511502128</v>
      </c>
      <c r="P229" s="22">
        <f t="shared" si="64"/>
        <v>0.24497780511711262</v>
      </c>
      <c r="Q229">
        <v>20.29</v>
      </c>
      <c r="R229" s="1">
        <v>14.38</v>
      </c>
      <c r="S229" s="1">
        <v>22.4</v>
      </c>
      <c r="T229" s="1">
        <v>19</v>
      </c>
      <c r="U229" s="1">
        <v>1</v>
      </c>
      <c r="V229" s="1">
        <v>2424</v>
      </c>
      <c r="W229">
        <v>20</v>
      </c>
      <c r="X229">
        <v>1.01</v>
      </c>
      <c r="Y229">
        <v>438</v>
      </c>
      <c r="Z229" s="28">
        <f t="shared" si="66"/>
        <v>0</v>
      </c>
      <c r="AA229" s="28">
        <f t="shared" si="67"/>
        <v>0.85</v>
      </c>
      <c r="AB229" s="28">
        <f t="shared" si="68"/>
        <v>21.05</v>
      </c>
      <c r="AC229" s="28">
        <f t="shared" si="69"/>
        <v>0</v>
      </c>
      <c r="AD229" s="28">
        <f t="shared" si="70"/>
        <v>0</v>
      </c>
      <c r="AE229">
        <f t="shared" si="59"/>
        <v>0</v>
      </c>
      <c r="AF229">
        <f t="shared" si="60"/>
        <v>3.8812785388127852E-2</v>
      </c>
      <c r="AG229">
        <f t="shared" si="61"/>
        <v>0.96118721461187218</v>
      </c>
      <c r="AH229">
        <f t="shared" si="62"/>
        <v>0</v>
      </c>
      <c r="AI229">
        <f t="shared" si="63"/>
        <v>0</v>
      </c>
      <c r="AJ229">
        <v>0</v>
      </c>
      <c r="AK229">
        <v>17</v>
      </c>
      <c r="AL229">
        <v>421</v>
      </c>
      <c r="AM229">
        <v>0</v>
      </c>
      <c r="AN229">
        <v>0</v>
      </c>
      <c r="AO229" s="22">
        <f t="shared" si="71"/>
        <v>0</v>
      </c>
      <c r="AP229" s="22">
        <f t="shared" si="72"/>
        <v>2.8903717578961645</v>
      </c>
      <c r="AQ229" s="22">
        <f t="shared" si="73"/>
        <v>6.045005314036012</v>
      </c>
      <c r="AR229" s="22">
        <f t="shared" si="74"/>
        <v>0</v>
      </c>
      <c r="AS229" s="22">
        <f t="shared" si="75"/>
        <v>0</v>
      </c>
    </row>
    <row r="230" spans="1:45" x14ac:dyDescent="0.25">
      <c r="A230" s="1" t="s">
        <v>10</v>
      </c>
      <c r="B230" s="11">
        <v>42200</v>
      </c>
      <c r="C230">
        <v>196</v>
      </c>
      <c r="D230">
        <v>2015</v>
      </c>
      <c r="E230">
        <v>2005</v>
      </c>
      <c r="F230" s="1">
        <v>57850</v>
      </c>
      <c r="G230" s="44">
        <f t="shared" si="65"/>
        <v>1</v>
      </c>
      <c r="H230" s="6">
        <v>42.486666666666665</v>
      </c>
      <c r="I230" s="6">
        <v>-81.444166666666661</v>
      </c>
      <c r="J230">
        <v>42.566916666666664</v>
      </c>
      <c r="K230">
        <v>-81.47208333333333</v>
      </c>
      <c r="L230">
        <v>41.819366666666667</v>
      </c>
      <c r="M230">
        <v>-81.155166666666673</v>
      </c>
      <c r="N230" s="22">
        <f t="shared" si="76"/>
        <v>8.4967068784193481E-2</v>
      </c>
      <c r="O230" s="22">
        <f t="shared" si="77"/>
        <v>0.7271934336887188</v>
      </c>
      <c r="P230" s="22">
        <f t="shared" si="64"/>
        <v>8.4967068784193481E-2</v>
      </c>
      <c r="Q230">
        <v>20.55</v>
      </c>
      <c r="R230" s="1">
        <v>14.74</v>
      </c>
      <c r="S230" s="1">
        <v>19.399999999999999</v>
      </c>
      <c r="T230" s="1">
        <v>17</v>
      </c>
      <c r="U230" s="1">
        <v>1</v>
      </c>
      <c r="V230" s="1">
        <v>2619</v>
      </c>
      <c r="W230">
        <v>20</v>
      </c>
      <c r="X230">
        <v>0.93</v>
      </c>
      <c r="Y230">
        <v>262</v>
      </c>
      <c r="Z230" s="28">
        <f t="shared" si="66"/>
        <v>0</v>
      </c>
      <c r="AA230" s="28">
        <f t="shared" si="67"/>
        <v>7.75</v>
      </c>
      <c r="AB230" s="28">
        <f t="shared" si="68"/>
        <v>4.8</v>
      </c>
      <c r="AC230" s="28">
        <f t="shared" si="69"/>
        <v>0</v>
      </c>
      <c r="AD230" s="28">
        <f t="shared" si="70"/>
        <v>0</v>
      </c>
      <c r="AE230">
        <f t="shared" si="59"/>
        <v>0</v>
      </c>
      <c r="AF230">
        <f t="shared" si="60"/>
        <v>0.59160305343511455</v>
      </c>
      <c r="AG230">
        <f t="shared" si="61"/>
        <v>0.36641221374045801</v>
      </c>
      <c r="AH230">
        <f t="shared" si="62"/>
        <v>0</v>
      </c>
      <c r="AI230">
        <f t="shared" si="63"/>
        <v>0</v>
      </c>
      <c r="AJ230">
        <v>0</v>
      </c>
      <c r="AK230">
        <v>155</v>
      </c>
      <c r="AL230">
        <v>96</v>
      </c>
      <c r="AM230">
        <v>0</v>
      </c>
      <c r="AN230">
        <v>0</v>
      </c>
      <c r="AO230" s="22">
        <f t="shared" si="71"/>
        <v>0</v>
      </c>
      <c r="AP230" s="22">
        <f t="shared" si="72"/>
        <v>5.0498560072495371</v>
      </c>
      <c r="AQ230" s="22">
        <f t="shared" si="73"/>
        <v>4.5747109785033828</v>
      </c>
      <c r="AR230" s="22">
        <f t="shared" si="74"/>
        <v>0</v>
      </c>
      <c r="AS230" s="22">
        <f t="shared" si="75"/>
        <v>0</v>
      </c>
    </row>
    <row r="231" spans="1:45" x14ac:dyDescent="0.25">
      <c r="A231" s="1" t="s">
        <v>10</v>
      </c>
      <c r="B231" s="11">
        <v>42200</v>
      </c>
      <c r="C231">
        <v>196</v>
      </c>
      <c r="D231">
        <v>2015</v>
      </c>
      <c r="E231">
        <v>2006</v>
      </c>
      <c r="F231" s="1">
        <v>57850</v>
      </c>
      <c r="G231" s="44">
        <f t="shared" si="65"/>
        <v>1</v>
      </c>
      <c r="H231" s="6">
        <v>42.484833333333334</v>
      </c>
      <c r="I231" s="6">
        <v>-81.436666666666667</v>
      </c>
      <c r="J231">
        <v>42.566916666666664</v>
      </c>
      <c r="K231">
        <v>-81.47208333333333</v>
      </c>
      <c r="L231">
        <v>41.819366666666667</v>
      </c>
      <c r="M231">
        <v>-81.155166666666673</v>
      </c>
      <c r="N231" s="22">
        <f t="shared" si="76"/>
        <v>8.9398064234568475E-2</v>
      </c>
      <c r="O231" s="22">
        <f t="shared" si="77"/>
        <v>0.72255666521349149</v>
      </c>
      <c r="P231" s="22">
        <f t="shared" si="64"/>
        <v>8.9398064234568475E-2</v>
      </c>
      <c r="Q231">
        <v>20.55</v>
      </c>
      <c r="R231" s="1">
        <v>11.29</v>
      </c>
      <c r="S231" s="1">
        <v>19.399999999999999</v>
      </c>
      <c r="T231" s="1">
        <v>12</v>
      </c>
      <c r="U231" s="1">
        <v>0</v>
      </c>
      <c r="V231" s="1">
        <v>2710</v>
      </c>
      <c r="W231">
        <v>20</v>
      </c>
      <c r="X231">
        <v>0.94</v>
      </c>
      <c r="Y231">
        <v>163</v>
      </c>
      <c r="Z231" s="28">
        <f t="shared" si="66"/>
        <v>0</v>
      </c>
      <c r="AA231" s="28">
        <f t="shared" si="67"/>
        <v>7.8</v>
      </c>
      <c r="AB231" s="28">
        <f t="shared" si="68"/>
        <v>0.2</v>
      </c>
      <c r="AC231" s="28">
        <f t="shared" si="69"/>
        <v>0</v>
      </c>
      <c r="AD231" s="28">
        <f t="shared" si="70"/>
        <v>0</v>
      </c>
      <c r="AE231">
        <f t="shared" si="59"/>
        <v>0</v>
      </c>
      <c r="AF231">
        <f t="shared" si="60"/>
        <v>0.95705521472392641</v>
      </c>
      <c r="AG231">
        <f t="shared" si="61"/>
        <v>2.4539877300613498E-2</v>
      </c>
      <c r="AH231">
        <f t="shared" si="62"/>
        <v>0</v>
      </c>
      <c r="AI231">
        <f t="shared" si="63"/>
        <v>0</v>
      </c>
      <c r="AJ231">
        <v>0</v>
      </c>
      <c r="AK231">
        <v>156</v>
      </c>
      <c r="AL231">
        <v>4</v>
      </c>
      <c r="AM231">
        <v>0</v>
      </c>
      <c r="AN231">
        <v>0</v>
      </c>
      <c r="AO231" s="22">
        <f t="shared" si="71"/>
        <v>0</v>
      </c>
      <c r="AP231" s="22">
        <f t="shared" si="72"/>
        <v>5.0562458053483077</v>
      </c>
      <c r="AQ231" s="22">
        <f t="shared" si="73"/>
        <v>1.6094379124341003</v>
      </c>
      <c r="AR231" s="22">
        <f t="shared" si="74"/>
        <v>0</v>
      </c>
      <c r="AS231" s="22">
        <f t="shared" si="75"/>
        <v>0</v>
      </c>
    </row>
    <row r="232" spans="1:45" x14ac:dyDescent="0.25">
      <c r="A232" s="1" t="s">
        <v>10</v>
      </c>
      <c r="B232" s="11">
        <v>42200</v>
      </c>
      <c r="C232">
        <v>196</v>
      </c>
      <c r="D232">
        <v>2015</v>
      </c>
      <c r="E232">
        <v>2007</v>
      </c>
      <c r="F232" s="1">
        <v>57850</v>
      </c>
      <c r="G232" s="44">
        <f t="shared" si="65"/>
        <v>1</v>
      </c>
      <c r="H232" s="6">
        <v>42.487000000000002</v>
      </c>
      <c r="I232" s="6">
        <v>-81.441000000000003</v>
      </c>
      <c r="J232">
        <v>42.566916666666664</v>
      </c>
      <c r="K232">
        <v>-81.47208333333333</v>
      </c>
      <c r="L232">
        <v>41.819366666666667</v>
      </c>
      <c r="M232">
        <v>-81.155166666666673</v>
      </c>
      <c r="N232" s="22">
        <f t="shared" si="76"/>
        <v>8.5748744726795639E-2</v>
      </c>
      <c r="O232" s="22">
        <f t="shared" si="77"/>
        <v>0.72624717708382291</v>
      </c>
      <c r="P232" s="22">
        <f t="shared" si="64"/>
        <v>8.5748744726795639E-2</v>
      </c>
      <c r="Q232">
        <v>20.49</v>
      </c>
      <c r="R232" s="1">
        <v>20.49</v>
      </c>
      <c r="S232" s="1">
        <v>19.3</v>
      </c>
      <c r="T232" s="1">
        <v>8</v>
      </c>
      <c r="U232" s="1">
        <v>0</v>
      </c>
      <c r="V232" s="1">
        <v>2759</v>
      </c>
      <c r="W232">
        <v>20</v>
      </c>
      <c r="X232">
        <v>0.99</v>
      </c>
      <c r="Y232">
        <v>506</v>
      </c>
      <c r="Z232" s="28">
        <f t="shared" si="66"/>
        <v>0</v>
      </c>
      <c r="AA232" s="28">
        <f t="shared" si="67"/>
        <v>25.15</v>
      </c>
      <c r="AB232" s="28">
        <f t="shared" si="68"/>
        <v>0</v>
      </c>
      <c r="AC232" s="28">
        <f t="shared" si="69"/>
        <v>0</v>
      </c>
      <c r="AD232" s="28">
        <f t="shared" si="70"/>
        <v>0</v>
      </c>
      <c r="AE232">
        <f t="shared" si="59"/>
        <v>0</v>
      </c>
      <c r="AF232">
        <f t="shared" si="60"/>
        <v>0.99407114624505932</v>
      </c>
      <c r="AG232">
        <f t="shared" si="61"/>
        <v>0</v>
      </c>
      <c r="AH232">
        <f t="shared" si="62"/>
        <v>0</v>
      </c>
      <c r="AI232">
        <f t="shared" si="63"/>
        <v>0</v>
      </c>
      <c r="AJ232">
        <v>0</v>
      </c>
      <c r="AK232">
        <v>503</v>
      </c>
      <c r="AL232">
        <v>0</v>
      </c>
      <c r="AM232">
        <v>0</v>
      </c>
      <c r="AN232">
        <v>0</v>
      </c>
      <c r="AO232" s="22">
        <f t="shared" si="71"/>
        <v>0</v>
      </c>
      <c r="AP232" s="22">
        <f t="shared" si="72"/>
        <v>6.2225762680713688</v>
      </c>
      <c r="AQ232" s="22">
        <f t="shared" si="73"/>
        <v>0</v>
      </c>
      <c r="AR232" s="22">
        <f t="shared" si="74"/>
        <v>0</v>
      </c>
      <c r="AS232" s="22">
        <f t="shared" si="75"/>
        <v>0</v>
      </c>
    </row>
    <row r="233" spans="1:45" x14ac:dyDescent="0.25">
      <c r="A233" s="1" t="s">
        <v>10</v>
      </c>
      <c r="B233" s="11">
        <v>42200</v>
      </c>
      <c r="C233">
        <v>196</v>
      </c>
      <c r="D233">
        <v>2015</v>
      </c>
      <c r="E233">
        <v>2008</v>
      </c>
      <c r="F233" s="1">
        <v>57850</v>
      </c>
      <c r="G233" s="44">
        <f t="shared" si="65"/>
        <v>1</v>
      </c>
      <c r="H233" s="6">
        <v>42.5625</v>
      </c>
      <c r="I233" s="6">
        <v>-81.474666666666664</v>
      </c>
      <c r="J233">
        <v>42.566916666666664</v>
      </c>
      <c r="K233">
        <v>-81.47208333333333</v>
      </c>
      <c r="L233">
        <v>41.819366666666667</v>
      </c>
      <c r="M233">
        <v>-81.155166666666673</v>
      </c>
      <c r="N233" s="22">
        <f t="shared" si="76"/>
        <v>5.1166938110009256E-3</v>
      </c>
      <c r="O233" s="22">
        <f t="shared" si="77"/>
        <v>0.80890506310141508</v>
      </c>
      <c r="P233" s="22">
        <f t="shared" si="64"/>
        <v>5.1166938110009256E-3</v>
      </c>
      <c r="Q233">
        <v>18.920000000000002</v>
      </c>
      <c r="R233" s="1">
        <v>15.32</v>
      </c>
      <c r="S233" s="1">
        <v>11.3</v>
      </c>
      <c r="T233" s="1">
        <v>10</v>
      </c>
      <c r="U233" s="1">
        <v>0</v>
      </c>
      <c r="V233" s="1">
        <v>2919</v>
      </c>
      <c r="W233">
        <v>20</v>
      </c>
      <c r="X233">
        <v>1</v>
      </c>
      <c r="Y233">
        <v>1492</v>
      </c>
      <c r="Z233" s="28">
        <f t="shared" si="66"/>
        <v>0</v>
      </c>
      <c r="AA233" s="28">
        <f t="shared" si="67"/>
        <v>33.6</v>
      </c>
      <c r="AB233" s="28">
        <f t="shared" si="68"/>
        <v>40.700000000000003</v>
      </c>
      <c r="AC233" s="28">
        <f t="shared" si="69"/>
        <v>0.15</v>
      </c>
      <c r="AD233" s="28">
        <f t="shared" si="70"/>
        <v>0</v>
      </c>
      <c r="AE233">
        <f t="shared" si="59"/>
        <v>0</v>
      </c>
      <c r="AF233">
        <f t="shared" si="60"/>
        <v>0.45040214477211798</v>
      </c>
      <c r="AG233">
        <f t="shared" si="61"/>
        <v>0.54557640750670244</v>
      </c>
      <c r="AH233">
        <f t="shared" si="62"/>
        <v>2.0107238605898124E-3</v>
      </c>
      <c r="AI233">
        <f t="shared" si="63"/>
        <v>0</v>
      </c>
      <c r="AJ233">
        <v>0</v>
      </c>
      <c r="AK233">
        <v>672</v>
      </c>
      <c r="AL233">
        <v>814</v>
      </c>
      <c r="AM233">
        <v>3</v>
      </c>
      <c r="AN233">
        <v>0</v>
      </c>
      <c r="AO233" s="22">
        <f t="shared" si="71"/>
        <v>0</v>
      </c>
      <c r="AP233" s="22">
        <f t="shared" si="72"/>
        <v>6.5117453296447279</v>
      </c>
      <c r="AQ233" s="22">
        <f t="shared" si="73"/>
        <v>6.7031881132408628</v>
      </c>
      <c r="AR233" s="22">
        <f t="shared" si="74"/>
        <v>1.3862943611198906</v>
      </c>
      <c r="AS233" s="22">
        <f t="shared" si="75"/>
        <v>0</v>
      </c>
    </row>
    <row r="234" spans="1:45" x14ac:dyDescent="0.25">
      <c r="A234" s="1" t="s">
        <v>10</v>
      </c>
      <c r="B234" s="11">
        <v>42200</v>
      </c>
      <c r="C234">
        <v>196</v>
      </c>
      <c r="D234">
        <v>2015</v>
      </c>
      <c r="E234">
        <v>2009</v>
      </c>
      <c r="F234" s="1">
        <v>57850</v>
      </c>
      <c r="G234" s="44">
        <f t="shared" si="65"/>
        <v>1</v>
      </c>
      <c r="H234" s="6">
        <v>42.563833333333335</v>
      </c>
      <c r="I234" s="6">
        <v>-81.471166666666662</v>
      </c>
      <c r="J234">
        <v>42.566916666666664</v>
      </c>
      <c r="K234">
        <v>-81.47208333333333</v>
      </c>
      <c r="L234">
        <v>41.819366666666667</v>
      </c>
      <c r="M234">
        <v>-81.155166666666673</v>
      </c>
      <c r="N234" s="22">
        <f t="shared" si="76"/>
        <v>3.2167098442663191E-3</v>
      </c>
      <c r="O234" s="22">
        <f t="shared" si="77"/>
        <v>0.80875621653114482</v>
      </c>
      <c r="P234" s="22">
        <f t="shared" si="64"/>
        <v>3.2167098442663191E-3</v>
      </c>
      <c r="Q234">
        <v>19.149999999999999</v>
      </c>
      <c r="R234" s="1">
        <v>16.22</v>
      </c>
      <c r="S234" s="1">
        <v>11.9</v>
      </c>
      <c r="T234" s="1">
        <v>7</v>
      </c>
      <c r="U234" s="1">
        <v>0</v>
      </c>
      <c r="V234" s="1">
        <v>603</v>
      </c>
      <c r="W234">
        <v>20</v>
      </c>
      <c r="X234">
        <v>0.98</v>
      </c>
      <c r="Y234">
        <v>168</v>
      </c>
      <c r="Z234" s="28">
        <f t="shared" si="66"/>
        <v>0</v>
      </c>
      <c r="AA234" s="28">
        <f t="shared" si="67"/>
        <v>5.9</v>
      </c>
      <c r="AB234" s="28">
        <f t="shared" si="68"/>
        <v>2.15</v>
      </c>
      <c r="AC234" s="28">
        <f t="shared" si="69"/>
        <v>0.15</v>
      </c>
      <c r="AD234" s="28">
        <f t="shared" si="70"/>
        <v>0.05</v>
      </c>
      <c r="AE234">
        <f t="shared" si="59"/>
        <v>0</v>
      </c>
      <c r="AF234">
        <f t="shared" si="60"/>
        <v>0.70238095238095233</v>
      </c>
      <c r="AG234">
        <f t="shared" si="61"/>
        <v>0.25595238095238093</v>
      </c>
      <c r="AH234">
        <f t="shared" si="62"/>
        <v>1.7857142857142856E-2</v>
      </c>
      <c r="AI234">
        <f t="shared" si="63"/>
        <v>5.9523809523809521E-3</v>
      </c>
      <c r="AJ234">
        <v>0</v>
      </c>
      <c r="AK234">
        <v>118</v>
      </c>
      <c r="AL234">
        <v>43</v>
      </c>
      <c r="AM234">
        <v>3</v>
      </c>
      <c r="AN234">
        <v>1</v>
      </c>
      <c r="AO234" s="22">
        <f t="shared" si="71"/>
        <v>0</v>
      </c>
      <c r="AP234" s="22">
        <f t="shared" si="72"/>
        <v>4.7791234931115296</v>
      </c>
      <c r="AQ234" s="22">
        <f t="shared" si="73"/>
        <v>3.784189633918261</v>
      </c>
      <c r="AR234" s="22">
        <f t="shared" si="74"/>
        <v>1.3862943611198906</v>
      </c>
      <c r="AS234" s="22">
        <f t="shared" si="75"/>
        <v>0.69314718055994529</v>
      </c>
    </row>
    <row r="235" spans="1:45" x14ac:dyDescent="0.25">
      <c r="A235" s="1" t="s">
        <v>10</v>
      </c>
      <c r="B235" s="11">
        <v>42200</v>
      </c>
      <c r="C235">
        <v>196</v>
      </c>
      <c r="D235">
        <v>2015</v>
      </c>
      <c r="E235">
        <v>3001</v>
      </c>
      <c r="F235" s="1">
        <v>57600</v>
      </c>
      <c r="G235" s="44">
        <f t="shared" si="65"/>
        <v>0</v>
      </c>
      <c r="H235" s="6">
        <v>42.076666666666668</v>
      </c>
      <c r="I235" s="6">
        <v>-81.74433333333333</v>
      </c>
      <c r="J235">
        <v>42.261233333333337</v>
      </c>
      <c r="K235">
        <v>-81.829883333333328</v>
      </c>
      <c r="L235">
        <v>41.621000000000002</v>
      </c>
      <c r="M235">
        <v>-81.539483333333337</v>
      </c>
      <c r="N235" s="22">
        <f t="shared" si="76"/>
        <v>0.20342973466149153</v>
      </c>
      <c r="O235" s="22">
        <f t="shared" si="77"/>
        <v>0.49959546996655962</v>
      </c>
      <c r="P235" s="22">
        <f t="shared" si="64"/>
        <v>0.20342973466149153</v>
      </c>
      <c r="Q235">
        <v>20.420000000000002</v>
      </c>
      <c r="R235" s="1">
        <v>14.67</v>
      </c>
      <c r="S235" s="1">
        <v>24.2</v>
      </c>
      <c r="T235" s="1">
        <v>22</v>
      </c>
      <c r="U235" s="1">
        <v>1</v>
      </c>
      <c r="V235" s="1">
        <v>2146</v>
      </c>
      <c r="W235">
        <v>20</v>
      </c>
      <c r="X235">
        <v>0.97</v>
      </c>
      <c r="Y235">
        <v>527</v>
      </c>
      <c r="Z235" s="28">
        <f t="shared" si="66"/>
        <v>0</v>
      </c>
      <c r="AA235" s="28">
        <f t="shared" si="67"/>
        <v>1.2</v>
      </c>
      <c r="AB235" s="28">
        <f t="shared" si="68"/>
        <v>25.05</v>
      </c>
      <c r="AC235" s="28">
        <f t="shared" si="69"/>
        <v>0</v>
      </c>
      <c r="AD235" s="28">
        <f t="shared" si="70"/>
        <v>0</v>
      </c>
      <c r="AE235">
        <f t="shared" si="59"/>
        <v>0</v>
      </c>
      <c r="AF235">
        <f t="shared" si="60"/>
        <v>4.5540796963946868E-2</v>
      </c>
      <c r="AG235">
        <f t="shared" si="61"/>
        <v>0.95066413662239091</v>
      </c>
      <c r="AH235">
        <f t="shared" si="62"/>
        <v>0</v>
      </c>
      <c r="AI235">
        <f t="shared" si="63"/>
        <v>0</v>
      </c>
      <c r="AJ235">
        <v>0</v>
      </c>
      <c r="AK235">
        <v>24</v>
      </c>
      <c r="AL235">
        <v>501</v>
      </c>
      <c r="AM235">
        <v>0</v>
      </c>
      <c r="AN235">
        <v>0</v>
      </c>
      <c r="AO235" s="22">
        <f t="shared" si="71"/>
        <v>0</v>
      </c>
      <c r="AP235" s="22">
        <f t="shared" si="72"/>
        <v>3.2188758248682006</v>
      </c>
      <c r="AQ235" s="22">
        <f t="shared" si="73"/>
        <v>6.2186001196917289</v>
      </c>
      <c r="AR235" s="22">
        <f t="shared" si="74"/>
        <v>0</v>
      </c>
      <c r="AS235" s="22">
        <f t="shared" si="75"/>
        <v>0</v>
      </c>
    </row>
    <row r="236" spans="1:45" x14ac:dyDescent="0.25">
      <c r="A236" s="1" t="s">
        <v>10</v>
      </c>
      <c r="B236" s="11">
        <v>42200</v>
      </c>
      <c r="C236">
        <v>196</v>
      </c>
      <c r="D236">
        <v>2015</v>
      </c>
      <c r="E236">
        <v>3002</v>
      </c>
      <c r="F236" s="1">
        <v>57600</v>
      </c>
      <c r="G236" s="44">
        <f t="shared" si="65"/>
        <v>0</v>
      </c>
      <c r="H236" s="6">
        <v>42.059333333333335</v>
      </c>
      <c r="I236" s="6">
        <v>-81.74166666666666</v>
      </c>
      <c r="J236">
        <v>42.261233333333337</v>
      </c>
      <c r="K236">
        <v>-81.829883333333328</v>
      </c>
      <c r="L236">
        <v>41.621000000000002</v>
      </c>
      <c r="M236">
        <v>-81.539483333333337</v>
      </c>
      <c r="N236" s="22">
        <f t="shared" si="76"/>
        <v>0.22033109239909551</v>
      </c>
      <c r="O236" s="22">
        <f t="shared" si="77"/>
        <v>0.4827154559250037</v>
      </c>
      <c r="P236" s="22">
        <f t="shared" si="64"/>
        <v>0.22033109239909551</v>
      </c>
      <c r="Q236">
        <v>20.3</v>
      </c>
      <c r="R236" s="1">
        <v>15.29</v>
      </c>
      <c r="S236" s="1">
        <v>24.4</v>
      </c>
      <c r="T236" s="1">
        <v>17</v>
      </c>
      <c r="U236" s="1">
        <v>1</v>
      </c>
      <c r="V236" s="1">
        <v>2228</v>
      </c>
      <c r="W236">
        <v>20</v>
      </c>
      <c r="X236">
        <v>0.97</v>
      </c>
      <c r="Y236">
        <v>615</v>
      </c>
      <c r="Z236" s="28">
        <f t="shared" si="66"/>
        <v>0</v>
      </c>
      <c r="AA236" s="28">
        <f t="shared" si="67"/>
        <v>0.75</v>
      </c>
      <c r="AB236" s="28">
        <f t="shared" si="68"/>
        <v>30</v>
      </c>
      <c r="AC236" s="28">
        <f t="shared" si="69"/>
        <v>0</v>
      </c>
      <c r="AD236" s="28">
        <f t="shared" si="70"/>
        <v>0</v>
      </c>
      <c r="AE236">
        <f t="shared" si="59"/>
        <v>0</v>
      </c>
      <c r="AF236">
        <f t="shared" si="60"/>
        <v>2.4390243902439025E-2</v>
      </c>
      <c r="AG236">
        <f t="shared" si="61"/>
        <v>0.97560975609756095</v>
      </c>
      <c r="AH236">
        <f t="shared" si="62"/>
        <v>0</v>
      </c>
      <c r="AI236">
        <f t="shared" si="63"/>
        <v>0</v>
      </c>
      <c r="AJ236">
        <v>0</v>
      </c>
      <c r="AK236">
        <v>15</v>
      </c>
      <c r="AL236">
        <v>600</v>
      </c>
      <c r="AM236">
        <v>0</v>
      </c>
      <c r="AN236">
        <v>0</v>
      </c>
      <c r="AO236" s="22">
        <f t="shared" si="71"/>
        <v>0</v>
      </c>
      <c r="AP236" s="22">
        <f t="shared" si="72"/>
        <v>2.7725887222397811</v>
      </c>
      <c r="AQ236" s="22">
        <f t="shared" si="73"/>
        <v>6.3985949345352076</v>
      </c>
      <c r="AR236" s="22">
        <f t="shared" si="74"/>
        <v>0</v>
      </c>
      <c r="AS236" s="22">
        <f t="shared" si="75"/>
        <v>0</v>
      </c>
    </row>
    <row r="237" spans="1:45" x14ac:dyDescent="0.25">
      <c r="A237" s="1" t="s">
        <v>10</v>
      </c>
      <c r="B237" s="11">
        <v>42200</v>
      </c>
      <c r="C237">
        <v>196</v>
      </c>
      <c r="D237">
        <v>2015</v>
      </c>
      <c r="E237">
        <v>3003</v>
      </c>
      <c r="F237" s="1">
        <v>57600</v>
      </c>
      <c r="G237" s="44">
        <f t="shared" si="65"/>
        <v>0</v>
      </c>
      <c r="H237" s="6">
        <v>42.079166666666666</v>
      </c>
      <c r="I237" s="6">
        <v>-81.746499999999997</v>
      </c>
      <c r="J237">
        <v>42.261233333333337</v>
      </c>
      <c r="K237">
        <v>-81.829883333333328</v>
      </c>
      <c r="L237">
        <v>41.621000000000002</v>
      </c>
      <c r="M237">
        <v>-81.539483333333337</v>
      </c>
      <c r="N237" s="22">
        <f t="shared" si="76"/>
        <v>0.20025246912058281</v>
      </c>
      <c r="O237" s="22">
        <f t="shared" si="77"/>
        <v>0.50276494977495889</v>
      </c>
      <c r="P237" s="22">
        <f t="shared" si="64"/>
        <v>0.20025246912058281</v>
      </c>
      <c r="Q237">
        <v>20.25</v>
      </c>
      <c r="R237" s="1">
        <v>19.63</v>
      </c>
      <c r="S237" s="1">
        <v>24.2</v>
      </c>
      <c r="T237" s="1">
        <v>13</v>
      </c>
      <c r="U237" s="1">
        <v>0</v>
      </c>
      <c r="V237" s="1">
        <v>2309</v>
      </c>
      <c r="W237">
        <v>20</v>
      </c>
      <c r="X237">
        <v>0.9</v>
      </c>
      <c r="Y237">
        <v>304</v>
      </c>
      <c r="Z237" s="28">
        <f t="shared" si="66"/>
        <v>0</v>
      </c>
      <c r="AA237" s="28">
        <f t="shared" si="67"/>
        <v>0.8</v>
      </c>
      <c r="AB237" s="28">
        <f t="shared" si="68"/>
        <v>14.35</v>
      </c>
      <c r="AC237" s="28">
        <f t="shared" si="69"/>
        <v>0</v>
      </c>
      <c r="AD237" s="28">
        <f t="shared" si="70"/>
        <v>0.05</v>
      </c>
      <c r="AE237">
        <f t="shared" si="59"/>
        <v>0</v>
      </c>
      <c r="AF237">
        <f t="shared" si="60"/>
        <v>5.2631578947368418E-2</v>
      </c>
      <c r="AG237">
        <f t="shared" si="61"/>
        <v>0.94407894736842102</v>
      </c>
      <c r="AH237">
        <f t="shared" si="62"/>
        <v>0</v>
      </c>
      <c r="AI237">
        <f t="shared" si="63"/>
        <v>3.2894736842105261E-3</v>
      </c>
      <c r="AJ237">
        <v>0</v>
      </c>
      <c r="AK237">
        <v>16</v>
      </c>
      <c r="AL237">
        <v>287</v>
      </c>
      <c r="AM237">
        <v>0</v>
      </c>
      <c r="AN237">
        <v>1</v>
      </c>
      <c r="AO237" s="22">
        <f t="shared" si="71"/>
        <v>0</v>
      </c>
      <c r="AP237" s="22">
        <f t="shared" si="72"/>
        <v>2.8332133440562162</v>
      </c>
      <c r="AQ237" s="22">
        <f t="shared" si="73"/>
        <v>5.6629604801359461</v>
      </c>
      <c r="AR237" s="22">
        <f t="shared" si="74"/>
        <v>0</v>
      </c>
      <c r="AS237" s="22">
        <f t="shared" si="75"/>
        <v>0.69314718055994529</v>
      </c>
    </row>
    <row r="238" spans="1:45" x14ac:dyDescent="0.25">
      <c r="A238" s="1" t="s">
        <v>10</v>
      </c>
      <c r="B238" s="11">
        <v>42200</v>
      </c>
      <c r="C238">
        <v>196</v>
      </c>
      <c r="D238">
        <v>2015</v>
      </c>
      <c r="E238">
        <v>3004</v>
      </c>
      <c r="F238" s="1">
        <v>57600</v>
      </c>
      <c r="G238" s="44">
        <f t="shared" si="65"/>
        <v>0</v>
      </c>
      <c r="H238" s="6">
        <v>42.099166666666669</v>
      </c>
      <c r="I238" s="6">
        <v>-81.729666666666674</v>
      </c>
      <c r="J238">
        <v>42.261233333333337</v>
      </c>
      <c r="K238">
        <v>-81.829883333333328</v>
      </c>
      <c r="L238">
        <v>41.621000000000002</v>
      </c>
      <c r="M238">
        <v>-81.539483333333337</v>
      </c>
      <c r="N238" s="22">
        <f t="shared" si="76"/>
        <v>0.19054916615461764</v>
      </c>
      <c r="O238" s="22">
        <f t="shared" si="77"/>
        <v>0.51459990418663148</v>
      </c>
      <c r="P238" s="22">
        <f t="shared" si="64"/>
        <v>0.19054916615461764</v>
      </c>
      <c r="Q238">
        <v>20.16</v>
      </c>
      <c r="R238" s="1">
        <v>20.03</v>
      </c>
      <c r="S238" s="1">
        <v>24.2</v>
      </c>
      <c r="T238" s="1">
        <v>8</v>
      </c>
      <c r="U238" s="1">
        <v>0</v>
      </c>
      <c r="V238" s="1">
        <v>2351</v>
      </c>
      <c r="W238">
        <v>20</v>
      </c>
      <c r="X238">
        <v>0.97</v>
      </c>
      <c r="Y238">
        <v>170</v>
      </c>
      <c r="Z238" s="28">
        <f t="shared" si="66"/>
        <v>0</v>
      </c>
      <c r="AA238" s="28">
        <f t="shared" si="67"/>
        <v>8.1999999999999993</v>
      </c>
      <c r="AB238" s="28">
        <f t="shared" si="68"/>
        <v>0.15</v>
      </c>
      <c r="AC238" s="28">
        <f t="shared" si="69"/>
        <v>0</v>
      </c>
      <c r="AD238" s="28">
        <f t="shared" si="70"/>
        <v>0.1</v>
      </c>
      <c r="AE238">
        <f t="shared" si="59"/>
        <v>0</v>
      </c>
      <c r="AF238">
        <f t="shared" si="60"/>
        <v>0.96470588235294119</v>
      </c>
      <c r="AG238">
        <f t="shared" si="61"/>
        <v>1.7647058823529412E-2</v>
      </c>
      <c r="AH238">
        <f t="shared" si="62"/>
        <v>0</v>
      </c>
      <c r="AI238">
        <f t="shared" si="63"/>
        <v>1.1764705882352941E-2</v>
      </c>
      <c r="AJ238">
        <v>0</v>
      </c>
      <c r="AK238">
        <v>164</v>
      </c>
      <c r="AL238">
        <v>3</v>
      </c>
      <c r="AM238">
        <v>0</v>
      </c>
      <c r="AN238">
        <v>2</v>
      </c>
      <c r="AO238" s="22">
        <f t="shared" si="71"/>
        <v>0</v>
      </c>
      <c r="AP238" s="22">
        <f t="shared" si="72"/>
        <v>5.1059454739005803</v>
      </c>
      <c r="AQ238" s="22">
        <f t="shared" si="73"/>
        <v>1.3862943611198906</v>
      </c>
      <c r="AR238" s="22">
        <f t="shared" si="74"/>
        <v>0</v>
      </c>
      <c r="AS238" s="22">
        <f t="shared" si="75"/>
        <v>1.0986122886681098</v>
      </c>
    </row>
    <row r="239" spans="1:45" x14ac:dyDescent="0.25">
      <c r="A239" s="1" t="s">
        <v>10</v>
      </c>
      <c r="B239" s="11">
        <v>42201</v>
      </c>
      <c r="C239">
        <v>197</v>
      </c>
      <c r="D239">
        <v>2015</v>
      </c>
      <c r="E239">
        <v>3005</v>
      </c>
      <c r="F239" s="1">
        <v>57600</v>
      </c>
      <c r="G239" s="44">
        <f t="shared" si="65"/>
        <v>0</v>
      </c>
      <c r="H239" s="6">
        <v>42.207500000000003</v>
      </c>
      <c r="I239" s="6">
        <v>-81.80683333333333</v>
      </c>
      <c r="J239">
        <v>42.261233333333337</v>
      </c>
      <c r="K239">
        <v>-81.829883333333328</v>
      </c>
      <c r="L239">
        <v>41.621000000000002</v>
      </c>
      <c r="M239">
        <v>-81.539483333333337</v>
      </c>
      <c r="N239" s="22">
        <f t="shared" si="76"/>
        <v>5.846856942931853E-2</v>
      </c>
      <c r="O239" s="22">
        <f t="shared" si="77"/>
        <v>0.64456052663810981</v>
      </c>
      <c r="P239" s="22">
        <f t="shared" si="64"/>
        <v>5.846856942931853E-2</v>
      </c>
      <c r="Q239">
        <v>20.3</v>
      </c>
      <c r="R239" s="1">
        <v>15.09</v>
      </c>
      <c r="S239" s="1">
        <v>20.5</v>
      </c>
      <c r="T239" s="1">
        <v>18</v>
      </c>
      <c r="U239" s="1">
        <v>1</v>
      </c>
      <c r="V239" s="1">
        <v>2542</v>
      </c>
      <c r="W239">
        <v>20</v>
      </c>
      <c r="X239">
        <v>0.97</v>
      </c>
      <c r="Y239">
        <v>636</v>
      </c>
      <c r="Z239" s="28">
        <f t="shared" si="66"/>
        <v>0</v>
      </c>
      <c r="AA239" s="28">
        <f t="shared" si="67"/>
        <v>30.65</v>
      </c>
      <c r="AB239" s="28">
        <f t="shared" si="68"/>
        <v>0.55000000000000004</v>
      </c>
      <c r="AC239" s="28">
        <f t="shared" si="69"/>
        <v>0</v>
      </c>
      <c r="AD239" s="28">
        <f t="shared" si="70"/>
        <v>0</v>
      </c>
      <c r="AE239">
        <f t="shared" si="59"/>
        <v>0</v>
      </c>
      <c r="AF239">
        <f t="shared" si="60"/>
        <v>0.96383647798742134</v>
      </c>
      <c r="AG239">
        <f t="shared" si="61"/>
        <v>1.7295597484276729E-2</v>
      </c>
      <c r="AH239">
        <f t="shared" si="62"/>
        <v>0</v>
      </c>
      <c r="AI239">
        <f t="shared" si="63"/>
        <v>0</v>
      </c>
      <c r="AJ239">
        <v>0</v>
      </c>
      <c r="AK239">
        <v>613</v>
      </c>
      <c r="AL239">
        <v>11</v>
      </c>
      <c r="AM239">
        <v>0</v>
      </c>
      <c r="AN239">
        <v>0</v>
      </c>
      <c r="AO239" s="22">
        <f t="shared" si="71"/>
        <v>0</v>
      </c>
      <c r="AP239" s="22">
        <f t="shared" si="72"/>
        <v>6.4199949281471422</v>
      </c>
      <c r="AQ239" s="22">
        <f t="shared" si="73"/>
        <v>2.4849066497880004</v>
      </c>
      <c r="AR239" s="22">
        <f t="shared" si="74"/>
        <v>0</v>
      </c>
      <c r="AS239" s="22">
        <f t="shared" si="75"/>
        <v>0</v>
      </c>
    </row>
    <row r="240" spans="1:45" x14ac:dyDescent="0.25">
      <c r="A240" s="1" t="s">
        <v>10</v>
      </c>
      <c r="B240" s="11">
        <v>42201</v>
      </c>
      <c r="C240">
        <v>197</v>
      </c>
      <c r="D240">
        <v>2015</v>
      </c>
      <c r="E240">
        <v>3006</v>
      </c>
      <c r="F240" s="1">
        <v>57600</v>
      </c>
      <c r="G240" s="44">
        <f t="shared" si="65"/>
        <v>0</v>
      </c>
      <c r="H240" s="6">
        <v>42.201500000000003</v>
      </c>
      <c r="I240" s="6">
        <v>-81.802666666666667</v>
      </c>
      <c r="J240">
        <v>42.261233333333337</v>
      </c>
      <c r="K240">
        <v>-81.829883333333328</v>
      </c>
      <c r="L240">
        <v>41.621000000000002</v>
      </c>
      <c r="M240">
        <v>-81.539483333333337</v>
      </c>
      <c r="N240" s="22">
        <f t="shared" si="76"/>
        <v>6.5641587850655256E-2</v>
      </c>
      <c r="O240" s="22">
        <f t="shared" si="77"/>
        <v>0.6373740792850332</v>
      </c>
      <c r="P240" s="22">
        <f t="shared" si="64"/>
        <v>6.5641587850655256E-2</v>
      </c>
      <c r="Q240">
        <v>20.21</v>
      </c>
      <c r="R240" s="1">
        <v>18.03</v>
      </c>
      <c r="S240" s="1">
        <v>20.7</v>
      </c>
      <c r="T240" s="1">
        <v>15</v>
      </c>
      <c r="U240" s="1">
        <v>1</v>
      </c>
      <c r="V240" s="1">
        <v>2640</v>
      </c>
      <c r="W240">
        <v>20</v>
      </c>
      <c r="X240">
        <v>0.97</v>
      </c>
      <c r="Y240">
        <v>543</v>
      </c>
      <c r="Z240" s="28">
        <f t="shared" si="66"/>
        <v>0</v>
      </c>
      <c r="AA240" s="28">
        <f t="shared" si="67"/>
        <v>26.7</v>
      </c>
      <c r="AB240" s="28">
        <f t="shared" si="68"/>
        <v>0.15</v>
      </c>
      <c r="AC240" s="28">
        <f t="shared" si="69"/>
        <v>0.05</v>
      </c>
      <c r="AD240" s="28">
        <f t="shared" si="70"/>
        <v>0.15</v>
      </c>
      <c r="AE240">
        <f t="shared" si="59"/>
        <v>0</v>
      </c>
      <c r="AF240">
        <f t="shared" si="60"/>
        <v>0.98342541436464093</v>
      </c>
      <c r="AG240">
        <f t="shared" si="61"/>
        <v>5.5248618784530384E-3</v>
      </c>
      <c r="AH240">
        <f t="shared" si="62"/>
        <v>1.841620626151013E-3</v>
      </c>
      <c r="AI240">
        <f t="shared" si="63"/>
        <v>5.5248618784530384E-3</v>
      </c>
      <c r="AJ240">
        <v>0</v>
      </c>
      <c r="AK240">
        <v>534</v>
      </c>
      <c r="AL240">
        <v>3</v>
      </c>
      <c r="AM240">
        <v>1</v>
      </c>
      <c r="AN240">
        <v>3</v>
      </c>
      <c r="AO240" s="22">
        <f t="shared" si="71"/>
        <v>0</v>
      </c>
      <c r="AP240" s="22">
        <f t="shared" si="72"/>
        <v>6.2822667468960063</v>
      </c>
      <c r="AQ240" s="22">
        <f t="shared" si="73"/>
        <v>1.3862943611198906</v>
      </c>
      <c r="AR240" s="22">
        <f t="shared" si="74"/>
        <v>0.69314718055994529</v>
      </c>
      <c r="AS240" s="22">
        <f t="shared" si="75"/>
        <v>1.3862943611198906</v>
      </c>
    </row>
    <row r="241" spans="1:45" x14ac:dyDescent="0.25">
      <c r="A241" s="1" t="s">
        <v>10</v>
      </c>
      <c r="B241" s="11">
        <v>42201</v>
      </c>
      <c r="C241">
        <v>197</v>
      </c>
      <c r="D241">
        <v>2015</v>
      </c>
      <c r="E241">
        <v>3007</v>
      </c>
      <c r="F241" s="1">
        <v>57600</v>
      </c>
      <c r="G241" s="44">
        <f t="shared" si="65"/>
        <v>0</v>
      </c>
      <c r="H241" s="6">
        <v>42.211333333333336</v>
      </c>
      <c r="I241" s="6">
        <v>-81.802833333333339</v>
      </c>
      <c r="J241">
        <v>42.261233333333337</v>
      </c>
      <c r="K241">
        <v>-81.829883333333328</v>
      </c>
      <c r="L241">
        <v>41.621000000000002</v>
      </c>
      <c r="M241">
        <v>-81.539483333333337</v>
      </c>
      <c r="N241" s="22">
        <f t="shared" si="76"/>
        <v>5.6760131254248086E-2</v>
      </c>
      <c r="O241" s="22">
        <f t="shared" si="77"/>
        <v>0.64641060243814552</v>
      </c>
      <c r="P241" s="22">
        <f t="shared" si="64"/>
        <v>5.6760131254248086E-2</v>
      </c>
      <c r="Q241">
        <v>20.25</v>
      </c>
      <c r="R241" s="1">
        <v>20.28</v>
      </c>
      <c r="S241" s="1">
        <v>20.5</v>
      </c>
      <c r="T241" s="1">
        <v>6</v>
      </c>
      <c r="U241" s="1">
        <v>0</v>
      </c>
      <c r="V241" s="1">
        <v>2732</v>
      </c>
      <c r="W241">
        <v>24</v>
      </c>
      <c r="X241">
        <v>1.1200000000000001</v>
      </c>
      <c r="Y241">
        <v>232</v>
      </c>
      <c r="Z241" s="28">
        <f t="shared" si="66"/>
        <v>0</v>
      </c>
      <c r="AA241" s="28">
        <f t="shared" si="67"/>
        <v>9.5833333333333339</v>
      </c>
      <c r="AB241" s="28">
        <f t="shared" si="68"/>
        <v>0</v>
      </c>
      <c r="AC241" s="28">
        <f t="shared" si="69"/>
        <v>4.1666666666666664E-2</v>
      </c>
      <c r="AD241" s="28">
        <f t="shared" si="70"/>
        <v>0</v>
      </c>
      <c r="AE241">
        <f t="shared" si="59"/>
        <v>0</v>
      </c>
      <c r="AF241">
        <f t="shared" si="60"/>
        <v>0.99137931034482762</v>
      </c>
      <c r="AG241">
        <f t="shared" si="61"/>
        <v>0</v>
      </c>
      <c r="AH241">
        <f t="shared" si="62"/>
        <v>4.3103448275862068E-3</v>
      </c>
      <c r="AI241">
        <f t="shared" si="63"/>
        <v>0</v>
      </c>
      <c r="AJ241">
        <v>0</v>
      </c>
      <c r="AK241">
        <v>230</v>
      </c>
      <c r="AL241">
        <v>0</v>
      </c>
      <c r="AM241">
        <v>1</v>
      </c>
      <c r="AN241">
        <v>0</v>
      </c>
      <c r="AO241" s="22">
        <f t="shared" si="71"/>
        <v>0</v>
      </c>
      <c r="AP241" s="22">
        <f t="shared" si="72"/>
        <v>5.4424177105217932</v>
      </c>
      <c r="AQ241" s="22">
        <f t="shared" si="73"/>
        <v>0</v>
      </c>
      <c r="AR241" s="22">
        <f t="shared" si="74"/>
        <v>0.69314718055994529</v>
      </c>
      <c r="AS241" s="22">
        <f t="shared" si="75"/>
        <v>0</v>
      </c>
    </row>
    <row r="242" spans="1:45" x14ac:dyDescent="0.25">
      <c r="A242" s="1" t="s">
        <v>10</v>
      </c>
      <c r="B242" s="11">
        <v>42201</v>
      </c>
      <c r="C242">
        <v>197</v>
      </c>
      <c r="D242">
        <v>2015</v>
      </c>
      <c r="E242">
        <v>3008</v>
      </c>
      <c r="F242" s="1">
        <v>57600</v>
      </c>
      <c r="G242" s="44">
        <f t="shared" si="65"/>
        <v>0</v>
      </c>
      <c r="H242" s="6">
        <v>42.265666666666668</v>
      </c>
      <c r="I242" s="6">
        <v>-81.828666666666663</v>
      </c>
      <c r="J242">
        <v>42.261233333333337</v>
      </c>
      <c r="K242">
        <v>-81.829883333333328</v>
      </c>
      <c r="L242">
        <v>41.621000000000002</v>
      </c>
      <c r="M242">
        <v>-81.539483333333337</v>
      </c>
      <c r="N242" s="22">
        <f t="shared" si="76"/>
        <v>4.5972515943984021E-3</v>
      </c>
      <c r="O242" s="22">
        <f t="shared" si="77"/>
        <v>0.70655651676910036</v>
      </c>
      <c r="P242" s="22">
        <f t="shared" si="64"/>
        <v>4.5972515943984021E-3</v>
      </c>
      <c r="Q242">
        <v>19.309999999999999</v>
      </c>
      <c r="R242" s="1">
        <v>18.02</v>
      </c>
      <c r="S242" s="1">
        <v>10.9</v>
      </c>
      <c r="T242" s="1">
        <v>8</v>
      </c>
      <c r="U242" s="1">
        <v>0</v>
      </c>
      <c r="V242" s="1">
        <v>2838</v>
      </c>
      <c r="W242">
        <v>20</v>
      </c>
      <c r="X242">
        <v>0.95</v>
      </c>
      <c r="Y242">
        <v>854</v>
      </c>
      <c r="Z242" s="28">
        <f t="shared" si="66"/>
        <v>0.05</v>
      </c>
      <c r="AA242" s="28">
        <f t="shared" si="67"/>
        <v>24.25</v>
      </c>
      <c r="AB242" s="28">
        <f t="shared" si="68"/>
        <v>2.9</v>
      </c>
      <c r="AC242" s="28">
        <f t="shared" si="69"/>
        <v>14.95</v>
      </c>
      <c r="AD242" s="28">
        <f t="shared" si="70"/>
        <v>0.3</v>
      </c>
      <c r="AE242">
        <f t="shared" si="59"/>
        <v>1.17096018735363E-3</v>
      </c>
      <c r="AF242">
        <f t="shared" si="60"/>
        <v>0.5679156908665105</v>
      </c>
      <c r="AG242">
        <f t="shared" si="61"/>
        <v>6.7915690866510545E-2</v>
      </c>
      <c r="AH242">
        <f t="shared" si="62"/>
        <v>0.35011709601873536</v>
      </c>
      <c r="AI242">
        <f t="shared" si="63"/>
        <v>7.0257611241217799E-3</v>
      </c>
      <c r="AJ242">
        <v>1</v>
      </c>
      <c r="AK242">
        <v>485</v>
      </c>
      <c r="AL242">
        <v>58</v>
      </c>
      <c r="AM242">
        <v>299</v>
      </c>
      <c r="AN242">
        <v>6</v>
      </c>
      <c r="AO242" s="22">
        <f t="shared" si="71"/>
        <v>0.69314718055994529</v>
      </c>
      <c r="AP242" s="22">
        <f t="shared" si="72"/>
        <v>6.1862086239004936</v>
      </c>
      <c r="AQ242" s="22">
        <f t="shared" si="73"/>
        <v>4.0775374439057197</v>
      </c>
      <c r="AR242" s="22">
        <f t="shared" si="74"/>
        <v>5.7037824746562009</v>
      </c>
      <c r="AS242" s="22">
        <f t="shared" si="75"/>
        <v>1.9459101490553132</v>
      </c>
    </row>
    <row r="243" spans="1:45" x14ac:dyDescent="0.25">
      <c r="A243" s="1" t="s">
        <v>10</v>
      </c>
      <c r="B243" s="11">
        <v>42201</v>
      </c>
      <c r="C243">
        <v>197</v>
      </c>
      <c r="D243">
        <v>2015</v>
      </c>
      <c r="E243">
        <v>3009</v>
      </c>
      <c r="F243" s="1">
        <v>57600</v>
      </c>
      <c r="G243" s="44">
        <f t="shared" si="65"/>
        <v>0</v>
      </c>
      <c r="H243" s="6">
        <v>42.274999999999999</v>
      </c>
      <c r="I243" s="6">
        <v>-81.815666666666672</v>
      </c>
      <c r="J243">
        <v>42.261233333333337</v>
      </c>
      <c r="K243">
        <v>-81.829883333333328</v>
      </c>
      <c r="L243">
        <v>41.621000000000002</v>
      </c>
      <c r="M243">
        <v>-81.539483333333337</v>
      </c>
      <c r="N243" s="22">
        <f t="shared" si="76"/>
        <v>1.9789763066337344E-2</v>
      </c>
      <c r="O243" s="22">
        <f t="shared" si="77"/>
        <v>0.70992480842065786</v>
      </c>
      <c r="P243" s="22">
        <f t="shared" si="64"/>
        <v>1.9789763066337344E-2</v>
      </c>
      <c r="Q243">
        <v>18.260000000000002</v>
      </c>
      <c r="R243" s="1">
        <v>18.18</v>
      </c>
      <c r="S243" s="1">
        <v>13.9</v>
      </c>
      <c r="T243" s="1">
        <v>6</v>
      </c>
      <c r="U243" s="1">
        <v>0</v>
      </c>
      <c r="V243" s="1">
        <v>2926</v>
      </c>
      <c r="W243">
        <v>20</v>
      </c>
      <c r="X243">
        <v>0.94</v>
      </c>
      <c r="Y243">
        <v>417</v>
      </c>
      <c r="Z243" s="28">
        <f t="shared" si="66"/>
        <v>0</v>
      </c>
      <c r="AA243" s="28">
        <f t="shared" si="67"/>
        <v>14.45</v>
      </c>
      <c r="AB243" s="28">
        <f t="shared" si="68"/>
        <v>1.25</v>
      </c>
      <c r="AC243" s="28">
        <f t="shared" si="69"/>
        <v>4.8499999999999996</v>
      </c>
      <c r="AD243" s="28">
        <f t="shared" si="70"/>
        <v>0.2</v>
      </c>
      <c r="AE243">
        <f t="shared" si="59"/>
        <v>0</v>
      </c>
      <c r="AF243">
        <f t="shared" si="60"/>
        <v>0.69304556354916069</v>
      </c>
      <c r="AG243">
        <f t="shared" si="61"/>
        <v>5.9952038369304558E-2</v>
      </c>
      <c r="AH243">
        <f t="shared" si="62"/>
        <v>0.23261390887290168</v>
      </c>
      <c r="AI243">
        <f t="shared" si="63"/>
        <v>9.5923261390887284E-3</v>
      </c>
      <c r="AJ243">
        <v>0</v>
      </c>
      <c r="AK243">
        <v>289</v>
      </c>
      <c r="AL243">
        <v>25</v>
      </c>
      <c r="AM243">
        <v>97</v>
      </c>
      <c r="AN243">
        <v>4</v>
      </c>
      <c r="AO243" s="22">
        <f t="shared" si="71"/>
        <v>0</v>
      </c>
      <c r="AP243" s="22">
        <f t="shared" si="72"/>
        <v>5.6698809229805196</v>
      </c>
      <c r="AQ243" s="22">
        <f t="shared" si="73"/>
        <v>3.2580965380214821</v>
      </c>
      <c r="AR243" s="22">
        <f t="shared" si="74"/>
        <v>4.5849674786705723</v>
      </c>
      <c r="AS243" s="22">
        <f t="shared" si="75"/>
        <v>1.6094379124341003</v>
      </c>
    </row>
    <row r="244" spans="1:45" x14ac:dyDescent="0.25">
      <c r="A244" s="1" t="s">
        <v>10</v>
      </c>
      <c r="B244" s="11">
        <v>42201</v>
      </c>
      <c r="C244">
        <v>197</v>
      </c>
      <c r="D244">
        <v>2015</v>
      </c>
      <c r="E244">
        <v>4001</v>
      </c>
      <c r="F244" s="1">
        <v>57350</v>
      </c>
      <c r="G244" s="44">
        <f t="shared" si="65"/>
        <v>0</v>
      </c>
      <c r="H244" s="6">
        <v>41.909833333333331</v>
      </c>
      <c r="I244" s="6">
        <v>-82.154166666666669</v>
      </c>
      <c r="J244">
        <v>42.1434</v>
      </c>
      <c r="K244">
        <v>-82.285266666666672</v>
      </c>
      <c r="L244">
        <v>41.52558333333333</v>
      </c>
      <c r="M244">
        <v>-81.97645</v>
      </c>
      <c r="N244" s="22">
        <f t="shared" si="76"/>
        <v>0.2678443536417735</v>
      </c>
      <c r="O244" s="22">
        <f t="shared" si="77"/>
        <v>0.4233571495925314</v>
      </c>
      <c r="P244" s="22">
        <f t="shared" si="64"/>
        <v>0.2678443536417735</v>
      </c>
      <c r="Q244">
        <v>20.3</v>
      </c>
      <c r="R244" s="1">
        <v>12.42</v>
      </c>
      <c r="S244" s="1">
        <v>21.2</v>
      </c>
      <c r="T244" s="1">
        <v>19</v>
      </c>
      <c r="U244" s="1">
        <v>1</v>
      </c>
      <c r="V244" s="1">
        <v>2133</v>
      </c>
      <c r="W244">
        <v>20</v>
      </c>
      <c r="X244">
        <v>0.98</v>
      </c>
      <c r="Y244">
        <v>453</v>
      </c>
      <c r="Z244" s="28">
        <f t="shared" si="66"/>
        <v>0.05</v>
      </c>
      <c r="AA244" s="28">
        <f t="shared" si="67"/>
        <v>20.95</v>
      </c>
      <c r="AB244" s="28">
        <f t="shared" si="68"/>
        <v>1.4</v>
      </c>
      <c r="AC244" s="28">
        <f t="shared" si="69"/>
        <v>0</v>
      </c>
      <c r="AD244" s="28">
        <f t="shared" si="70"/>
        <v>0.05</v>
      </c>
      <c r="AE244">
        <f t="shared" si="59"/>
        <v>2.2075055187637969E-3</v>
      </c>
      <c r="AF244">
        <f t="shared" si="60"/>
        <v>0.92494481236203085</v>
      </c>
      <c r="AG244">
        <f t="shared" si="61"/>
        <v>6.1810154525386317E-2</v>
      </c>
      <c r="AH244">
        <f t="shared" si="62"/>
        <v>0</v>
      </c>
      <c r="AI244">
        <f t="shared" si="63"/>
        <v>2.2075055187637969E-3</v>
      </c>
      <c r="AJ244">
        <v>1</v>
      </c>
      <c r="AK244">
        <v>419</v>
      </c>
      <c r="AL244">
        <v>28</v>
      </c>
      <c r="AM244">
        <v>0</v>
      </c>
      <c r="AN244">
        <v>1</v>
      </c>
      <c r="AO244" s="22">
        <f t="shared" si="71"/>
        <v>0.69314718055994529</v>
      </c>
      <c r="AP244" s="22">
        <f t="shared" si="72"/>
        <v>6.0402547112774139</v>
      </c>
      <c r="AQ244" s="22">
        <f t="shared" si="73"/>
        <v>3.3672958299864741</v>
      </c>
      <c r="AR244" s="22">
        <f t="shared" si="74"/>
        <v>0</v>
      </c>
      <c r="AS244" s="22">
        <f t="shared" si="75"/>
        <v>0.69314718055994529</v>
      </c>
    </row>
    <row r="245" spans="1:45" x14ac:dyDescent="0.25">
      <c r="A245" s="1" t="s">
        <v>10</v>
      </c>
      <c r="B245" s="11">
        <v>42201</v>
      </c>
      <c r="C245">
        <v>197</v>
      </c>
      <c r="D245">
        <v>2015</v>
      </c>
      <c r="E245">
        <v>4002</v>
      </c>
      <c r="F245" s="1">
        <v>57350</v>
      </c>
      <c r="G245" s="44">
        <f t="shared" si="65"/>
        <v>0</v>
      </c>
      <c r="H245" s="6">
        <v>41.912333333333336</v>
      </c>
      <c r="I245" s="6">
        <v>-82.154333333333327</v>
      </c>
      <c r="J245">
        <v>42.1434</v>
      </c>
      <c r="K245">
        <v>-82.285266666666672</v>
      </c>
      <c r="L245">
        <v>41.52558333333333</v>
      </c>
      <c r="M245">
        <v>-81.97645</v>
      </c>
      <c r="N245" s="22">
        <f t="shared" si="76"/>
        <v>0.26558490586293482</v>
      </c>
      <c r="O245" s="22">
        <f t="shared" si="77"/>
        <v>0.42569712563955653</v>
      </c>
      <c r="P245" s="22">
        <f t="shared" si="64"/>
        <v>0.26558490586293482</v>
      </c>
      <c r="Q245">
        <v>20.260000000000002</v>
      </c>
      <c r="R245" s="1">
        <v>19.61</v>
      </c>
      <c r="S245" s="1">
        <v>21.2</v>
      </c>
      <c r="T245" s="1">
        <v>14</v>
      </c>
      <c r="U245" s="1">
        <v>1</v>
      </c>
      <c r="V245" s="1">
        <v>2230</v>
      </c>
      <c r="W245">
        <v>20</v>
      </c>
      <c r="X245">
        <v>0.95</v>
      </c>
      <c r="Y245">
        <v>594</v>
      </c>
      <c r="Z245" s="28">
        <f t="shared" si="66"/>
        <v>0.05</v>
      </c>
      <c r="AA245" s="28">
        <f t="shared" si="67"/>
        <v>28.5</v>
      </c>
      <c r="AB245" s="28">
        <f t="shared" si="68"/>
        <v>0.5</v>
      </c>
      <c r="AC245" s="28">
        <f t="shared" si="69"/>
        <v>0</v>
      </c>
      <c r="AD245" s="28">
        <f t="shared" si="70"/>
        <v>0</v>
      </c>
      <c r="AE245">
        <f t="shared" si="59"/>
        <v>1.6835016835016834E-3</v>
      </c>
      <c r="AF245">
        <f t="shared" si="60"/>
        <v>0.95959595959595956</v>
      </c>
      <c r="AG245">
        <f t="shared" si="61"/>
        <v>1.6835016835016835E-2</v>
      </c>
      <c r="AH245">
        <f t="shared" si="62"/>
        <v>0</v>
      </c>
      <c r="AI245">
        <f t="shared" si="63"/>
        <v>0</v>
      </c>
      <c r="AJ245">
        <v>1</v>
      </c>
      <c r="AK245">
        <v>570</v>
      </c>
      <c r="AL245">
        <v>10</v>
      </c>
      <c r="AM245">
        <v>0</v>
      </c>
      <c r="AN245">
        <v>0</v>
      </c>
      <c r="AO245" s="22">
        <f t="shared" si="71"/>
        <v>0.69314718055994529</v>
      </c>
      <c r="AP245" s="22">
        <f t="shared" si="72"/>
        <v>6.3473892096560105</v>
      </c>
      <c r="AQ245" s="22">
        <f t="shared" si="73"/>
        <v>2.3978952727983707</v>
      </c>
      <c r="AR245" s="22">
        <f t="shared" si="74"/>
        <v>0</v>
      </c>
      <c r="AS245" s="22">
        <f t="shared" si="75"/>
        <v>0</v>
      </c>
    </row>
    <row r="246" spans="1:45" x14ac:dyDescent="0.25">
      <c r="A246" s="1" t="s">
        <v>10</v>
      </c>
      <c r="B246" s="11">
        <v>42201</v>
      </c>
      <c r="C246">
        <v>197</v>
      </c>
      <c r="D246">
        <v>2015</v>
      </c>
      <c r="E246">
        <v>4003</v>
      </c>
      <c r="F246" s="1">
        <v>57350</v>
      </c>
      <c r="G246" s="44">
        <f t="shared" si="65"/>
        <v>0</v>
      </c>
      <c r="H246" s="6">
        <v>41.913166666666669</v>
      </c>
      <c r="I246" s="6">
        <v>-82.151333333333326</v>
      </c>
      <c r="J246">
        <v>42.1434</v>
      </c>
      <c r="K246">
        <v>-82.285266666666672</v>
      </c>
      <c r="L246">
        <v>41.52558333333333</v>
      </c>
      <c r="M246">
        <v>-81.97645</v>
      </c>
      <c r="N246" s="22">
        <f t="shared" si="76"/>
        <v>0.26635601280158427</v>
      </c>
      <c r="O246" s="22">
        <f t="shared" si="77"/>
        <v>0.42521173614513225</v>
      </c>
      <c r="P246" s="22">
        <f t="shared" si="64"/>
        <v>0.26635601280158427</v>
      </c>
      <c r="Q246">
        <v>20.22</v>
      </c>
      <c r="R246" s="1">
        <v>20.03</v>
      </c>
      <c r="S246" s="1">
        <v>21.2</v>
      </c>
      <c r="T246" s="1">
        <v>10</v>
      </c>
      <c r="U246" s="1">
        <v>0</v>
      </c>
      <c r="V246" s="1">
        <v>2322</v>
      </c>
      <c r="W246">
        <v>20</v>
      </c>
      <c r="X246">
        <v>0.95</v>
      </c>
      <c r="Y246">
        <v>202</v>
      </c>
      <c r="Z246" s="28">
        <f t="shared" si="66"/>
        <v>0.05</v>
      </c>
      <c r="AA246" s="28">
        <f t="shared" si="67"/>
        <v>9.75</v>
      </c>
      <c r="AB246" s="28">
        <f t="shared" si="68"/>
        <v>0</v>
      </c>
      <c r="AC246" s="28">
        <f t="shared" si="69"/>
        <v>0</v>
      </c>
      <c r="AD246" s="28">
        <f t="shared" si="70"/>
        <v>0.05</v>
      </c>
      <c r="AE246">
        <f t="shared" si="59"/>
        <v>4.9504950495049506E-3</v>
      </c>
      <c r="AF246">
        <f t="shared" si="60"/>
        <v>0.96534653465346532</v>
      </c>
      <c r="AG246">
        <f t="shared" si="61"/>
        <v>0</v>
      </c>
      <c r="AH246">
        <f t="shared" si="62"/>
        <v>0</v>
      </c>
      <c r="AI246">
        <f t="shared" si="63"/>
        <v>4.9504950495049506E-3</v>
      </c>
      <c r="AJ246">
        <v>1</v>
      </c>
      <c r="AK246">
        <v>195</v>
      </c>
      <c r="AL246">
        <v>0</v>
      </c>
      <c r="AM246">
        <v>0</v>
      </c>
      <c r="AN246">
        <v>1</v>
      </c>
      <c r="AO246" s="22">
        <f t="shared" si="71"/>
        <v>0.69314718055994529</v>
      </c>
      <c r="AP246" s="22">
        <f t="shared" si="72"/>
        <v>5.2781146592305168</v>
      </c>
      <c r="AQ246" s="22">
        <f t="shared" si="73"/>
        <v>0</v>
      </c>
      <c r="AR246" s="22">
        <f t="shared" si="74"/>
        <v>0</v>
      </c>
      <c r="AS246" s="22">
        <f t="shared" si="75"/>
        <v>0.69314718055994529</v>
      </c>
    </row>
    <row r="247" spans="1:45" x14ac:dyDescent="0.25">
      <c r="A247" s="1" t="s">
        <v>10</v>
      </c>
      <c r="B247" s="11">
        <v>42202</v>
      </c>
      <c r="C247">
        <v>198</v>
      </c>
      <c r="D247">
        <v>2015</v>
      </c>
      <c r="E247">
        <v>4004</v>
      </c>
      <c r="F247" s="1">
        <v>57350</v>
      </c>
      <c r="G247" s="44">
        <f t="shared" si="65"/>
        <v>0</v>
      </c>
      <c r="H247" s="6">
        <v>41.915833333333332</v>
      </c>
      <c r="I247" s="6">
        <v>-82.153833333333338</v>
      </c>
      <c r="J247">
        <v>42.1434</v>
      </c>
      <c r="K247">
        <v>-82.285266666666672</v>
      </c>
      <c r="L247">
        <v>41.52558333333333</v>
      </c>
      <c r="M247">
        <v>-81.97645</v>
      </c>
      <c r="N247" s="22">
        <f t="shared" si="76"/>
        <v>0.26279518429546916</v>
      </c>
      <c r="O247" s="22">
        <f t="shared" si="77"/>
        <v>0.42867226344195358</v>
      </c>
      <c r="P247" s="22">
        <f t="shared" si="64"/>
        <v>0.26279518429546916</v>
      </c>
      <c r="Q247">
        <v>20.22</v>
      </c>
      <c r="R247" s="1">
        <v>20.23</v>
      </c>
      <c r="S247" s="1">
        <v>21.3</v>
      </c>
      <c r="T247" s="1">
        <v>6</v>
      </c>
      <c r="U247" s="1">
        <v>0</v>
      </c>
      <c r="V247" s="1">
        <v>2412</v>
      </c>
      <c r="W247">
        <v>20</v>
      </c>
      <c r="X247">
        <v>0.95</v>
      </c>
      <c r="Y247">
        <v>121</v>
      </c>
      <c r="Z247" s="28">
        <f t="shared" si="66"/>
        <v>0</v>
      </c>
      <c r="AA247" s="28">
        <f t="shared" si="67"/>
        <v>5.8</v>
      </c>
      <c r="AB247" s="28">
        <f t="shared" si="68"/>
        <v>0</v>
      </c>
      <c r="AC247" s="28">
        <f t="shared" si="69"/>
        <v>0</v>
      </c>
      <c r="AD247" s="28">
        <f t="shared" si="70"/>
        <v>0</v>
      </c>
      <c r="AE247">
        <f t="shared" ref="AE247:AE310" si="78">AJ247/$Y247</f>
        <v>0</v>
      </c>
      <c r="AF247">
        <f t="shared" ref="AF247:AF310" si="79">AK247/$Y247</f>
        <v>0.95867768595041325</v>
      </c>
      <c r="AG247">
        <f t="shared" ref="AG247:AG310" si="80">AL247/$Y247</f>
        <v>0</v>
      </c>
      <c r="AH247">
        <f t="shared" ref="AH247:AH310" si="81">AM247/$Y247</f>
        <v>0</v>
      </c>
      <c r="AI247">
        <f t="shared" ref="AI247:AI310" si="82">AN247/$Y247</f>
        <v>0</v>
      </c>
      <c r="AJ247">
        <v>0</v>
      </c>
      <c r="AK247">
        <v>116</v>
      </c>
      <c r="AL247">
        <v>0</v>
      </c>
      <c r="AM247">
        <v>0</v>
      </c>
      <c r="AN247">
        <v>0</v>
      </c>
      <c r="AO247" s="22">
        <f t="shared" si="71"/>
        <v>0</v>
      </c>
      <c r="AP247" s="22">
        <f t="shared" si="72"/>
        <v>4.7621739347977563</v>
      </c>
      <c r="AQ247" s="22">
        <f t="shared" si="73"/>
        <v>0</v>
      </c>
      <c r="AR247" s="22">
        <f t="shared" si="74"/>
        <v>0</v>
      </c>
      <c r="AS247" s="22">
        <f t="shared" si="75"/>
        <v>0</v>
      </c>
    </row>
    <row r="248" spans="1:45" x14ac:dyDescent="0.25">
      <c r="A248" s="1" t="s">
        <v>10</v>
      </c>
      <c r="B248" s="11">
        <v>42202</v>
      </c>
      <c r="C248">
        <v>198</v>
      </c>
      <c r="D248">
        <v>2015</v>
      </c>
      <c r="E248">
        <v>4005</v>
      </c>
      <c r="F248" s="1">
        <v>57350</v>
      </c>
      <c r="G248" s="44">
        <f t="shared" si="65"/>
        <v>0</v>
      </c>
      <c r="H248" s="6">
        <v>42.033166666666666</v>
      </c>
      <c r="I248" s="6">
        <v>-82.213833333333326</v>
      </c>
      <c r="J248">
        <v>42.1434</v>
      </c>
      <c r="K248">
        <v>-82.285266666666672</v>
      </c>
      <c r="L248">
        <v>41.52558333333333</v>
      </c>
      <c r="M248">
        <v>-81.97645</v>
      </c>
      <c r="N248" s="22">
        <f t="shared" si="76"/>
        <v>0.1313548967069392</v>
      </c>
      <c r="O248" s="22">
        <f t="shared" si="77"/>
        <v>0.56034961160174113</v>
      </c>
      <c r="P248" s="22">
        <f t="shared" si="64"/>
        <v>0.1313548967069392</v>
      </c>
      <c r="Q248">
        <v>19.989999999999998</v>
      </c>
      <c r="R248" s="1">
        <v>15.42</v>
      </c>
      <c r="S248" s="1">
        <v>20.9</v>
      </c>
      <c r="T248" s="1">
        <v>18</v>
      </c>
      <c r="U248" s="1">
        <v>1</v>
      </c>
      <c r="V248" s="1">
        <v>2537</v>
      </c>
      <c r="W248">
        <v>20</v>
      </c>
      <c r="X248">
        <v>0.94</v>
      </c>
      <c r="Y248">
        <v>641</v>
      </c>
      <c r="Z248" s="28">
        <f t="shared" si="66"/>
        <v>0</v>
      </c>
      <c r="AA248" s="28">
        <f t="shared" si="67"/>
        <v>29.75</v>
      </c>
      <c r="AB248" s="28">
        <f t="shared" si="68"/>
        <v>0.65</v>
      </c>
      <c r="AC248" s="28">
        <f t="shared" si="69"/>
        <v>0</v>
      </c>
      <c r="AD248" s="28">
        <f t="shared" si="70"/>
        <v>0</v>
      </c>
      <c r="AE248">
        <f t="shared" si="78"/>
        <v>0</v>
      </c>
      <c r="AF248">
        <f t="shared" si="79"/>
        <v>0.92823712948517945</v>
      </c>
      <c r="AG248">
        <f t="shared" si="80"/>
        <v>2.0280811232449299E-2</v>
      </c>
      <c r="AH248">
        <f t="shared" si="81"/>
        <v>0</v>
      </c>
      <c r="AI248">
        <f t="shared" si="82"/>
        <v>0</v>
      </c>
      <c r="AJ248">
        <v>0</v>
      </c>
      <c r="AK248">
        <v>595</v>
      </c>
      <c r="AL248">
        <v>13</v>
      </c>
      <c r="AM248">
        <v>0</v>
      </c>
      <c r="AN248">
        <v>0</v>
      </c>
      <c r="AO248" s="22">
        <f t="shared" si="71"/>
        <v>0</v>
      </c>
      <c r="AP248" s="22">
        <f t="shared" si="72"/>
        <v>6.39024066706535</v>
      </c>
      <c r="AQ248" s="22">
        <f t="shared" si="73"/>
        <v>2.6390573296152584</v>
      </c>
      <c r="AR248" s="22">
        <f t="shared" si="74"/>
        <v>0</v>
      </c>
      <c r="AS248" s="22">
        <f t="shared" si="75"/>
        <v>0</v>
      </c>
    </row>
    <row r="249" spans="1:45" x14ac:dyDescent="0.25">
      <c r="A249" s="1" t="s">
        <v>10</v>
      </c>
      <c r="B249" s="11">
        <v>42202</v>
      </c>
      <c r="C249">
        <v>198</v>
      </c>
      <c r="D249">
        <v>2015</v>
      </c>
      <c r="E249">
        <v>4006</v>
      </c>
      <c r="F249" s="1">
        <v>57350</v>
      </c>
      <c r="G249" s="44">
        <f t="shared" si="65"/>
        <v>0</v>
      </c>
      <c r="H249" s="6">
        <v>42.036833333333334</v>
      </c>
      <c r="I249" s="6">
        <v>-82.203999999999994</v>
      </c>
      <c r="J249">
        <v>42.1434</v>
      </c>
      <c r="K249">
        <v>-82.285266666666672</v>
      </c>
      <c r="L249">
        <v>41.52558333333333</v>
      </c>
      <c r="M249">
        <v>-81.97645</v>
      </c>
      <c r="N249" s="22">
        <f t="shared" si="76"/>
        <v>0.13401763151002674</v>
      </c>
      <c r="O249" s="22">
        <f t="shared" si="77"/>
        <v>0.55960304234341074</v>
      </c>
      <c r="P249" s="22">
        <f t="shared" si="64"/>
        <v>0.13401763151002674</v>
      </c>
      <c r="Q249">
        <v>19.98</v>
      </c>
      <c r="R249" s="1">
        <v>19.420000000000002</v>
      </c>
      <c r="S249" s="1">
        <v>20.8</v>
      </c>
      <c r="T249" s="1">
        <v>13</v>
      </c>
      <c r="U249" s="1">
        <v>1</v>
      </c>
      <c r="V249" s="1">
        <v>2632</v>
      </c>
      <c r="W249">
        <v>20</v>
      </c>
      <c r="X249">
        <v>0.94</v>
      </c>
      <c r="Y249">
        <v>818</v>
      </c>
      <c r="Z249" s="28">
        <f t="shared" si="66"/>
        <v>0</v>
      </c>
      <c r="AA249" s="28">
        <f t="shared" si="67"/>
        <v>40.75</v>
      </c>
      <c r="AB249" s="28">
        <f t="shared" si="68"/>
        <v>0</v>
      </c>
      <c r="AC249" s="28">
        <f t="shared" si="69"/>
        <v>0</v>
      </c>
      <c r="AD249" s="28">
        <f t="shared" si="70"/>
        <v>0.05</v>
      </c>
      <c r="AE249">
        <f t="shared" si="78"/>
        <v>0</v>
      </c>
      <c r="AF249">
        <f t="shared" si="79"/>
        <v>0.99633251833740832</v>
      </c>
      <c r="AG249">
        <f t="shared" si="80"/>
        <v>0</v>
      </c>
      <c r="AH249">
        <f t="shared" si="81"/>
        <v>0</v>
      </c>
      <c r="AI249">
        <f t="shared" si="82"/>
        <v>1.2224938875305623E-3</v>
      </c>
      <c r="AJ249">
        <v>0</v>
      </c>
      <c r="AK249">
        <v>815</v>
      </c>
      <c r="AL249">
        <v>0</v>
      </c>
      <c r="AM249">
        <v>0</v>
      </c>
      <c r="AN249">
        <v>1</v>
      </c>
      <c r="AO249" s="22">
        <f t="shared" si="71"/>
        <v>0</v>
      </c>
      <c r="AP249" s="22">
        <f t="shared" si="72"/>
        <v>6.7044143549641069</v>
      </c>
      <c r="AQ249" s="22">
        <f t="shared" si="73"/>
        <v>0</v>
      </c>
      <c r="AR249" s="22">
        <f t="shared" si="74"/>
        <v>0</v>
      </c>
      <c r="AS249" s="22">
        <f t="shared" si="75"/>
        <v>0.69314718055994529</v>
      </c>
    </row>
    <row r="250" spans="1:45" x14ac:dyDescent="0.25">
      <c r="A250" s="1" t="s">
        <v>10</v>
      </c>
      <c r="B250" s="11">
        <v>42202</v>
      </c>
      <c r="C250">
        <v>198</v>
      </c>
      <c r="D250">
        <v>2015</v>
      </c>
      <c r="E250">
        <v>4007</v>
      </c>
      <c r="F250" s="1">
        <v>57350</v>
      </c>
      <c r="G250" s="44">
        <f t="shared" si="65"/>
        <v>0</v>
      </c>
      <c r="H250" s="6">
        <v>42.031999999999996</v>
      </c>
      <c r="I250" s="6">
        <v>-82.204166666666666</v>
      </c>
      <c r="J250">
        <v>42.1434</v>
      </c>
      <c r="K250">
        <v>-82.285266666666672</v>
      </c>
      <c r="L250">
        <v>41.52558333333333</v>
      </c>
      <c r="M250">
        <v>-81.97645</v>
      </c>
      <c r="N250" s="22">
        <f t="shared" si="76"/>
        <v>0.13779394036024142</v>
      </c>
      <c r="O250" s="22">
        <f t="shared" si="77"/>
        <v>0.55525914720565839</v>
      </c>
      <c r="P250" s="22">
        <f t="shared" si="64"/>
        <v>0.13779394036024142</v>
      </c>
      <c r="Q250">
        <v>20.05</v>
      </c>
      <c r="R250" s="1">
        <v>19.96</v>
      </c>
      <c r="S250" s="1">
        <v>20.9</v>
      </c>
      <c r="T250" s="1">
        <v>8</v>
      </c>
      <c r="U250" s="1">
        <v>0</v>
      </c>
      <c r="V250" s="1">
        <v>2724</v>
      </c>
      <c r="W250">
        <v>20</v>
      </c>
      <c r="X250">
        <v>0.99</v>
      </c>
      <c r="Y250">
        <v>1138</v>
      </c>
      <c r="Z250" s="28">
        <f t="shared" si="66"/>
        <v>0</v>
      </c>
      <c r="AA250" s="28">
        <f t="shared" si="67"/>
        <v>56.5</v>
      </c>
      <c r="AB250" s="28">
        <f t="shared" si="68"/>
        <v>0.15</v>
      </c>
      <c r="AC250" s="28">
        <f t="shared" si="69"/>
        <v>0</v>
      </c>
      <c r="AD250" s="28">
        <f t="shared" si="70"/>
        <v>0.05</v>
      </c>
      <c r="AE250">
        <f t="shared" si="78"/>
        <v>0</v>
      </c>
      <c r="AF250">
        <f t="shared" si="79"/>
        <v>0.99297012302284715</v>
      </c>
      <c r="AG250">
        <f t="shared" si="80"/>
        <v>2.6362038664323375E-3</v>
      </c>
      <c r="AH250">
        <f t="shared" si="81"/>
        <v>0</v>
      </c>
      <c r="AI250">
        <f t="shared" si="82"/>
        <v>8.7873462214411243E-4</v>
      </c>
      <c r="AJ250">
        <v>0</v>
      </c>
      <c r="AK250">
        <v>1130</v>
      </c>
      <c r="AL250">
        <v>3</v>
      </c>
      <c r="AM250">
        <v>0</v>
      </c>
      <c r="AN250">
        <v>1</v>
      </c>
      <c r="AO250" s="22">
        <f t="shared" si="71"/>
        <v>0</v>
      </c>
      <c r="AP250" s="22">
        <f t="shared" si="72"/>
        <v>7.0308574761161209</v>
      </c>
      <c r="AQ250" s="22">
        <f t="shared" si="73"/>
        <v>1.3862943611198906</v>
      </c>
      <c r="AR250" s="22">
        <f t="shared" si="74"/>
        <v>0</v>
      </c>
      <c r="AS250" s="22">
        <f t="shared" si="75"/>
        <v>0.69314718055994529</v>
      </c>
    </row>
    <row r="251" spans="1:45" x14ac:dyDescent="0.25">
      <c r="A251" s="1" t="s">
        <v>10</v>
      </c>
      <c r="B251" s="11">
        <v>42202</v>
      </c>
      <c r="C251">
        <v>198</v>
      </c>
      <c r="D251">
        <v>2015</v>
      </c>
      <c r="E251">
        <v>4008</v>
      </c>
      <c r="F251" s="1">
        <v>57350</v>
      </c>
      <c r="G251" s="44">
        <f t="shared" si="65"/>
        <v>0</v>
      </c>
      <c r="H251" s="6">
        <v>42.146166666666666</v>
      </c>
      <c r="I251" s="6">
        <v>-82.260166666666663</v>
      </c>
      <c r="J251">
        <v>42.1434</v>
      </c>
      <c r="K251">
        <v>-82.285266666666672</v>
      </c>
      <c r="L251">
        <v>41.52558333333333</v>
      </c>
      <c r="M251">
        <v>-81.97645</v>
      </c>
      <c r="N251" s="22">
        <f t="shared" si="76"/>
        <v>2.5252018621189344E-2</v>
      </c>
      <c r="O251" s="22">
        <f t="shared" si="77"/>
        <v>0.68236267523623895</v>
      </c>
      <c r="P251" s="22">
        <f t="shared" si="64"/>
        <v>2.5252018621189344E-2</v>
      </c>
      <c r="Q251">
        <v>20.100000000000001</v>
      </c>
      <c r="R251" s="1">
        <v>19.760000000000002</v>
      </c>
      <c r="S251" s="1">
        <v>13.7</v>
      </c>
      <c r="T251" s="1">
        <v>11</v>
      </c>
      <c r="U251" s="1">
        <v>0</v>
      </c>
      <c r="V251" s="1">
        <v>2841</v>
      </c>
      <c r="W251">
        <v>14</v>
      </c>
      <c r="X251">
        <v>0.74</v>
      </c>
      <c r="Y251">
        <v>368</v>
      </c>
      <c r="Z251" s="28">
        <f t="shared" si="66"/>
        <v>0</v>
      </c>
      <c r="AA251" s="28">
        <f t="shared" si="67"/>
        <v>21.357142857142858</v>
      </c>
      <c r="AB251" s="28">
        <f t="shared" si="68"/>
        <v>0</v>
      </c>
      <c r="AC251" s="28">
        <f t="shared" si="69"/>
        <v>3</v>
      </c>
      <c r="AD251" s="28">
        <f t="shared" si="70"/>
        <v>1.3571428571428572</v>
      </c>
      <c r="AE251">
        <f t="shared" si="78"/>
        <v>0</v>
      </c>
      <c r="AF251">
        <f t="shared" si="79"/>
        <v>0.8125</v>
      </c>
      <c r="AG251">
        <f t="shared" si="80"/>
        <v>0</v>
      </c>
      <c r="AH251">
        <f t="shared" si="81"/>
        <v>0.11413043478260869</v>
      </c>
      <c r="AI251">
        <f t="shared" si="82"/>
        <v>5.1630434782608696E-2</v>
      </c>
      <c r="AJ251">
        <v>0</v>
      </c>
      <c r="AK251">
        <v>299</v>
      </c>
      <c r="AL251">
        <v>0</v>
      </c>
      <c r="AM251">
        <v>42</v>
      </c>
      <c r="AN251">
        <v>19</v>
      </c>
      <c r="AO251" s="22">
        <f t="shared" si="71"/>
        <v>0</v>
      </c>
      <c r="AP251" s="22">
        <f t="shared" si="72"/>
        <v>5.7037824746562009</v>
      </c>
      <c r="AQ251" s="22">
        <f t="shared" si="73"/>
        <v>0</v>
      </c>
      <c r="AR251" s="22">
        <f t="shared" si="74"/>
        <v>3.7612001156935624</v>
      </c>
      <c r="AS251" s="22">
        <f t="shared" si="75"/>
        <v>2.9957322735539909</v>
      </c>
    </row>
    <row r="252" spans="1:45" x14ac:dyDescent="0.25">
      <c r="A252" s="1" t="s">
        <v>10</v>
      </c>
      <c r="B252" s="11">
        <v>42202</v>
      </c>
      <c r="C252">
        <v>198</v>
      </c>
      <c r="D252">
        <v>2015</v>
      </c>
      <c r="E252">
        <v>4009</v>
      </c>
      <c r="F252" s="1">
        <v>57350</v>
      </c>
      <c r="G252" s="44">
        <f t="shared" si="65"/>
        <v>0</v>
      </c>
      <c r="H252" s="6">
        <v>42.142333333333333</v>
      </c>
      <c r="I252" s="6">
        <v>-82.25333333333333</v>
      </c>
      <c r="J252">
        <v>42.1434</v>
      </c>
      <c r="K252">
        <v>-82.285266666666672</v>
      </c>
      <c r="L252">
        <v>41.52558333333333</v>
      </c>
      <c r="M252">
        <v>-81.97645</v>
      </c>
      <c r="N252" s="22">
        <f t="shared" si="76"/>
        <v>3.1951143258983648E-2</v>
      </c>
      <c r="O252" s="22">
        <f t="shared" si="77"/>
        <v>0.67605099125567458</v>
      </c>
      <c r="P252" s="22">
        <f t="shared" si="64"/>
        <v>3.1951143258983648E-2</v>
      </c>
      <c r="Q252">
        <v>19.78</v>
      </c>
      <c r="R252" s="1">
        <v>19.77</v>
      </c>
      <c r="S252" s="1">
        <v>15.4</v>
      </c>
      <c r="T252" s="1">
        <v>7</v>
      </c>
      <c r="U252" s="1">
        <v>0</v>
      </c>
      <c r="V252" s="1">
        <v>2926</v>
      </c>
      <c r="W252">
        <v>20</v>
      </c>
      <c r="X252">
        <v>0.97</v>
      </c>
      <c r="Y252">
        <v>245</v>
      </c>
      <c r="Z252" s="28">
        <f t="shared" si="66"/>
        <v>0</v>
      </c>
      <c r="AA252" s="28">
        <f t="shared" si="67"/>
        <v>10.95</v>
      </c>
      <c r="AB252" s="28">
        <f t="shared" si="68"/>
        <v>0</v>
      </c>
      <c r="AC252" s="28">
        <f t="shared" si="69"/>
        <v>0.1</v>
      </c>
      <c r="AD252" s="28">
        <f t="shared" si="70"/>
        <v>0.9</v>
      </c>
      <c r="AE252">
        <f t="shared" si="78"/>
        <v>0</v>
      </c>
      <c r="AF252">
        <f t="shared" si="79"/>
        <v>0.89387755102040811</v>
      </c>
      <c r="AG252">
        <f t="shared" si="80"/>
        <v>0</v>
      </c>
      <c r="AH252">
        <f t="shared" si="81"/>
        <v>8.1632653061224497E-3</v>
      </c>
      <c r="AI252">
        <f t="shared" si="82"/>
        <v>7.3469387755102047E-2</v>
      </c>
      <c r="AJ252">
        <v>0</v>
      </c>
      <c r="AK252">
        <v>219</v>
      </c>
      <c r="AL252">
        <v>0</v>
      </c>
      <c r="AM252">
        <v>2</v>
      </c>
      <c r="AN252">
        <v>18</v>
      </c>
      <c r="AO252" s="22">
        <f t="shared" si="71"/>
        <v>0</v>
      </c>
      <c r="AP252" s="22">
        <f t="shared" si="72"/>
        <v>5.393627546352362</v>
      </c>
      <c r="AQ252" s="22">
        <f t="shared" si="73"/>
        <v>0</v>
      </c>
      <c r="AR252" s="22">
        <f t="shared" si="74"/>
        <v>1.0986122886681098</v>
      </c>
      <c r="AS252" s="22">
        <f t="shared" si="75"/>
        <v>2.9444389791664403</v>
      </c>
    </row>
    <row r="253" spans="1:45" x14ac:dyDescent="0.25">
      <c r="A253" s="1" t="s">
        <v>8</v>
      </c>
      <c r="B253" s="2">
        <v>42556</v>
      </c>
      <c r="C253">
        <v>2198</v>
      </c>
      <c r="D253">
        <v>2016</v>
      </c>
      <c r="E253">
        <v>730</v>
      </c>
      <c r="F253" s="1">
        <v>57975</v>
      </c>
      <c r="G253" s="44">
        <f t="shared" si="65"/>
        <v>1</v>
      </c>
      <c r="H253" s="6">
        <v>41.963790000000003</v>
      </c>
      <c r="I253" s="6">
        <v>-80.990359999999995</v>
      </c>
      <c r="J253">
        <v>42.612716666666664</v>
      </c>
      <c r="K253">
        <v>-81.313883333333337</v>
      </c>
      <c r="L253">
        <v>41.874783333333333</v>
      </c>
      <c r="M253">
        <v>-80.945083333333329</v>
      </c>
      <c r="N253" s="22">
        <f t="shared" si="76"/>
        <v>0.72510217619465178</v>
      </c>
      <c r="O253" s="22">
        <f t="shared" si="77"/>
        <v>9.9860719282188579E-2</v>
      </c>
      <c r="P253" s="22">
        <f t="shared" si="64"/>
        <v>9.9860719282188579E-2</v>
      </c>
      <c r="Q253" s="43">
        <v>21.4</v>
      </c>
      <c r="R253" s="43">
        <v>20.399999999999999</v>
      </c>
      <c r="S253">
        <v>21</v>
      </c>
      <c r="T253" s="1">
        <v>8.5</v>
      </c>
      <c r="U253" s="1">
        <v>0</v>
      </c>
      <c r="V253" s="1">
        <v>2259</v>
      </c>
      <c r="W253" s="44">
        <v>20</v>
      </c>
      <c r="X253" s="45">
        <v>1.8</v>
      </c>
      <c r="Y253">
        <v>53</v>
      </c>
      <c r="Z253" s="28">
        <f t="shared" si="66"/>
        <v>0</v>
      </c>
      <c r="AA253" s="28">
        <f t="shared" si="67"/>
        <v>2.5499999999999998</v>
      </c>
      <c r="AB253" s="28">
        <f t="shared" si="68"/>
        <v>0</v>
      </c>
      <c r="AC253" s="28">
        <f t="shared" si="69"/>
        <v>0</v>
      </c>
      <c r="AD253" s="28">
        <f t="shared" si="70"/>
        <v>0</v>
      </c>
      <c r="AE253">
        <f t="shared" si="78"/>
        <v>0</v>
      </c>
      <c r="AF253">
        <f t="shared" si="79"/>
        <v>0.96226415094339623</v>
      </c>
      <c r="AG253">
        <f t="shared" si="80"/>
        <v>0</v>
      </c>
      <c r="AH253">
        <f t="shared" si="81"/>
        <v>0</v>
      </c>
      <c r="AI253">
        <f t="shared" si="82"/>
        <v>0</v>
      </c>
      <c r="AJ253">
        <v>0</v>
      </c>
      <c r="AK253">
        <v>51</v>
      </c>
      <c r="AL253">
        <v>0</v>
      </c>
      <c r="AM253">
        <v>0</v>
      </c>
      <c r="AN253">
        <v>0</v>
      </c>
      <c r="AO253" s="22">
        <f t="shared" si="71"/>
        <v>0</v>
      </c>
      <c r="AP253" s="22">
        <f t="shared" si="72"/>
        <v>3.9512437185814275</v>
      </c>
      <c r="AQ253" s="22">
        <f t="shared" si="73"/>
        <v>0</v>
      </c>
      <c r="AR253" s="22">
        <f t="shared" si="74"/>
        <v>0</v>
      </c>
      <c r="AS253" s="22">
        <f t="shared" si="75"/>
        <v>0</v>
      </c>
    </row>
    <row r="254" spans="1:45" x14ac:dyDescent="0.25">
      <c r="A254" s="1" t="s">
        <v>8</v>
      </c>
      <c r="B254" s="2">
        <v>42556</v>
      </c>
      <c r="C254">
        <v>2198</v>
      </c>
      <c r="D254">
        <v>2016</v>
      </c>
      <c r="E254">
        <v>731</v>
      </c>
      <c r="F254" s="1">
        <v>57975</v>
      </c>
      <c r="G254" s="44">
        <f t="shared" si="65"/>
        <v>1</v>
      </c>
      <c r="H254" s="6">
        <v>42.075890000000001</v>
      </c>
      <c r="I254" s="6">
        <v>-81.042919999999995</v>
      </c>
      <c r="J254">
        <v>42.612716666666664</v>
      </c>
      <c r="K254">
        <v>-81.313883333333337</v>
      </c>
      <c r="L254">
        <v>41.874783333333333</v>
      </c>
      <c r="M254">
        <v>-80.945083333333329</v>
      </c>
      <c r="N254" s="22">
        <f t="shared" si="76"/>
        <v>0.60133517945947235</v>
      </c>
      <c r="O254" s="22">
        <f t="shared" si="77"/>
        <v>0.2236423589623007</v>
      </c>
      <c r="P254" s="22">
        <f t="shared" si="64"/>
        <v>0.2236423589623007</v>
      </c>
      <c r="Q254" s="43"/>
      <c r="R254" s="43"/>
      <c r="S254">
        <v>22</v>
      </c>
      <c r="T254" s="1">
        <v>10.7</v>
      </c>
      <c r="U254" s="1">
        <v>0</v>
      </c>
      <c r="V254" s="1">
        <v>2428</v>
      </c>
      <c r="W254" s="44">
        <v>20</v>
      </c>
      <c r="X254" s="45">
        <v>1.8</v>
      </c>
      <c r="Y254">
        <v>62</v>
      </c>
      <c r="Z254" s="28">
        <f t="shared" si="66"/>
        <v>0</v>
      </c>
      <c r="AA254" s="28">
        <f t="shared" si="67"/>
        <v>1.65</v>
      </c>
      <c r="AB254" s="28">
        <f t="shared" si="68"/>
        <v>1.25</v>
      </c>
      <c r="AC254" s="28">
        <f t="shared" si="69"/>
        <v>0</v>
      </c>
      <c r="AD254" s="28">
        <f t="shared" si="70"/>
        <v>0</v>
      </c>
      <c r="AE254">
        <f t="shared" si="78"/>
        <v>0</v>
      </c>
      <c r="AF254">
        <f t="shared" si="79"/>
        <v>0.532258064516129</v>
      </c>
      <c r="AG254">
        <f t="shared" si="80"/>
        <v>0.40322580645161288</v>
      </c>
      <c r="AH254">
        <f t="shared" si="81"/>
        <v>0</v>
      </c>
      <c r="AI254">
        <f t="shared" si="82"/>
        <v>0</v>
      </c>
      <c r="AJ254">
        <v>0</v>
      </c>
      <c r="AK254">
        <v>33</v>
      </c>
      <c r="AL254">
        <v>25</v>
      </c>
      <c r="AM254">
        <v>0</v>
      </c>
      <c r="AN254">
        <v>0</v>
      </c>
      <c r="AO254" s="22">
        <f t="shared" si="71"/>
        <v>0</v>
      </c>
      <c r="AP254" s="22">
        <f t="shared" si="72"/>
        <v>3.5263605246161616</v>
      </c>
      <c r="AQ254" s="22">
        <f t="shared" si="73"/>
        <v>3.2580965380214821</v>
      </c>
      <c r="AR254" s="22">
        <f t="shared" si="74"/>
        <v>0</v>
      </c>
      <c r="AS254" s="22">
        <f t="shared" si="75"/>
        <v>0</v>
      </c>
    </row>
    <row r="255" spans="1:45" x14ac:dyDescent="0.25">
      <c r="A255" s="1" t="s">
        <v>8</v>
      </c>
      <c r="B255" s="2">
        <v>42557</v>
      </c>
      <c r="C255">
        <v>2198</v>
      </c>
      <c r="D255">
        <v>2016</v>
      </c>
      <c r="E255">
        <v>732</v>
      </c>
      <c r="F255" s="1">
        <v>57975</v>
      </c>
      <c r="G255" s="44">
        <f t="shared" si="65"/>
        <v>1</v>
      </c>
      <c r="H255" s="6">
        <v>42.141739999999999</v>
      </c>
      <c r="I255" s="6">
        <v>-81.074789999999993</v>
      </c>
      <c r="J255">
        <v>42.612716666666664</v>
      </c>
      <c r="K255">
        <v>-81.313883333333337</v>
      </c>
      <c r="L255">
        <v>41.874783333333333</v>
      </c>
      <c r="M255">
        <v>-80.945083333333329</v>
      </c>
      <c r="N255" s="22">
        <f t="shared" si="76"/>
        <v>0.52818996827741105</v>
      </c>
      <c r="O255" s="22">
        <f t="shared" si="77"/>
        <v>0.29679905871743278</v>
      </c>
      <c r="P255" s="22">
        <f t="shared" si="64"/>
        <v>0.29679905871743278</v>
      </c>
      <c r="Q255" s="43">
        <v>21.1</v>
      </c>
      <c r="R255" s="43">
        <v>15.4</v>
      </c>
      <c r="S255">
        <v>23</v>
      </c>
      <c r="T255" s="1">
        <v>17</v>
      </c>
      <c r="U255" s="1">
        <v>1</v>
      </c>
      <c r="V255" s="1">
        <v>2527</v>
      </c>
      <c r="W255" s="44">
        <v>20</v>
      </c>
      <c r="X255" s="45">
        <v>1.8</v>
      </c>
      <c r="Y255">
        <v>1009</v>
      </c>
      <c r="Z255" s="28">
        <f t="shared" si="66"/>
        <v>0</v>
      </c>
      <c r="AA255" s="28">
        <f t="shared" si="67"/>
        <v>0</v>
      </c>
      <c r="AB255" s="28">
        <f t="shared" si="68"/>
        <v>50.1</v>
      </c>
      <c r="AC255" s="28">
        <f t="shared" si="69"/>
        <v>0</v>
      </c>
      <c r="AD255" s="28">
        <f t="shared" si="70"/>
        <v>0</v>
      </c>
      <c r="AE255">
        <f t="shared" si="78"/>
        <v>0</v>
      </c>
      <c r="AF255">
        <f t="shared" si="79"/>
        <v>0</v>
      </c>
      <c r="AG255">
        <f t="shared" si="80"/>
        <v>0.99306243805748262</v>
      </c>
      <c r="AH255">
        <f t="shared" si="81"/>
        <v>0</v>
      </c>
      <c r="AI255">
        <f t="shared" si="82"/>
        <v>0</v>
      </c>
      <c r="AJ255">
        <v>0</v>
      </c>
      <c r="AK255">
        <v>0</v>
      </c>
      <c r="AL255">
        <v>1002</v>
      </c>
      <c r="AM255">
        <v>0</v>
      </c>
      <c r="AN255">
        <v>0</v>
      </c>
      <c r="AO255" s="22">
        <f t="shared" si="71"/>
        <v>0</v>
      </c>
      <c r="AP255" s="22">
        <f t="shared" si="72"/>
        <v>0</v>
      </c>
      <c r="AQ255" s="22">
        <f t="shared" si="73"/>
        <v>6.9107507879619359</v>
      </c>
      <c r="AR255" s="22">
        <f t="shared" si="74"/>
        <v>0</v>
      </c>
      <c r="AS255" s="22">
        <f t="shared" si="75"/>
        <v>0</v>
      </c>
    </row>
    <row r="256" spans="1:45" x14ac:dyDescent="0.25">
      <c r="A256" s="1" t="s">
        <v>8</v>
      </c>
      <c r="B256" s="2">
        <v>42558</v>
      </c>
      <c r="C256">
        <v>2198</v>
      </c>
      <c r="D256">
        <v>2016</v>
      </c>
      <c r="E256">
        <v>733</v>
      </c>
      <c r="F256" s="1">
        <v>57475</v>
      </c>
      <c r="G256" s="44">
        <f t="shared" si="65"/>
        <v>0</v>
      </c>
      <c r="H256" s="6">
        <v>41.695279999999997</v>
      </c>
      <c r="I256" s="6">
        <v>-81.836609999999993</v>
      </c>
      <c r="J256">
        <v>42.228400000000001</v>
      </c>
      <c r="K256">
        <v>-82.098483333333334</v>
      </c>
      <c r="L256">
        <v>41.508116666666666</v>
      </c>
      <c r="M256">
        <v>-81.739649999999997</v>
      </c>
      <c r="N256" s="22">
        <f t="shared" si="76"/>
        <v>0.59396513122498962</v>
      </c>
      <c r="O256" s="22">
        <f t="shared" si="77"/>
        <v>0.21078746391672021</v>
      </c>
      <c r="P256" s="22">
        <f t="shared" si="64"/>
        <v>0.21078746391672021</v>
      </c>
      <c r="Q256" s="43"/>
      <c r="R256" s="43"/>
      <c r="S256">
        <v>20</v>
      </c>
      <c r="T256" s="1">
        <v>7.3</v>
      </c>
      <c r="U256" s="1">
        <v>0</v>
      </c>
      <c r="V256" s="1">
        <v>2526</v>
      </c>
      <c r="W256" s="44">
        <v>20</v>
      </c>
      <c r="X256" s="45">
        <v>1.8</v>
      </c>
      <c r="Y256">
        <v>10</v>
      </c>
      <c r="Z256" s="28">
        <f t="shared" si="66"/>
        <v>0</v>
      </c>
      <c r="AA256" s="28">
        <f t="shared" si="67"/>
        <v>0.35</v>
      </c>
      <c r="AB256" s="28">
        <f t="shared" si="68"/>
        <v>0</v>
      </c>
      <c r="AC256" s="28">
        <f t="shared" si="69"/>
        <v>0</v>
      </c>
      <c r="AD256" s="28">
        <f t="shared" si="70"/>
        <v>0</v>
      </c>
      <c r="AE256">
        <f t="shared" si="78"/>
        <v>0</v>
      </c>
      <c r="AF256">
        <f t="shared" si="79"/>
        <v>0.7</v>
      </c>
      <c r="AG256">
        <f t="shared" si="80"/>
        <v>0</v>
      </c>
      <c r="AH256">
        <f t="shared" si="81"/>
        <v>0</v>
      </c>
      <c r="AI256">
        <f t="shared" si="82"/>
        <v>0</v>
      </c>
      <c r="AJ256">
        <v>0</v>
      </c>
      <c r="AK256">
        <v>7</v>
      </c>
      <c r="AL256">
        <v>0</v>
      </c>
      <c r="AM256">
        <v>0</v>
      </c>
      <c r="AN256">
        <v>0</v>
      </c>
      <c r="AO256" s="22">
        <f t="shared" si="71"/>
        <v>0</v>
      </c>
      <c r="AP256" s="22">
        <f t="shared" si="72"/>
        <v>2.0794415416798357</v>
      </c>
      <c r="AQ256" s="22">
        <f t="shared" si="73"/>
        <v>0</v>
      </c>
      <c r="AR256" s="22">
        <f t="shared" si="74"/>
        <v>0</v>
      </c>
      <c r="AS256" s="22">
        <f t="shared" si="75"/>
        <v>0</v>
      </c>
    </row>
    <row r="257" spans="1:45" x14ac:dyDescent="0.25">
      <c r="A257" s="1" t="s">
        <v>8</v>
      </c>
      <c r="B257" s="2">
        <v>42558</v>
      </c>
      <c r="C257">
        <v>2198</v>
      </c>
      <c r="D257">
        <v>2016</v>
      </c>
      <c r="E257">
        <v>734</v>
      </c>
      <c r="F257" s="1">
        <v>57475</v>
      </c>
      <c r="G257" s="44">
        <f t="shared" si="65"/>
        <v>0</v>
      </c>
      <c r="H257" s="6">
        <v>41.759059999999998</v>
      </c>
      <c r="I257" s="6">
        <v>-81.865960000000001</v>
      </c>
      <c r="J257">
        <v>42.228400000000001</v>
      </c>
      <c r="K257">
        <v>-82.098483333333334</v>
      </c>
      <c r="L257">
        <v>41.508116666666666</v>
      </c>
      <c r="M257">
        <v>-81.739649999999997</v>
      </c>
      <c r="N257" s="22">
        <f t="shared" si="76"/>
        <v>0.52378157293326633</v>
      </c>
      <c r="O257" s="22">
        <f t="shared" si="77"/>
        <v>0.28093909063077122</v>
      </c>
      <c r="P257" s="22">
        <f t="shared" si="64"/>
        <v>0.28093909063077122</v>
      </c>
      <c r="Q257" s="43"/>
      <c r="R257" s="43"/>
      <c r="S257">
        <v>20</v>
      </c>
      <c r="T257" s="1">
        <v>13.1</v>
      </c>
      <c r="U257" s="1">
        <v>0</v>
      </c>
      <c r="V257" s="1">
        <v>2621</v>
      </c>
      <c r="W257" s="44">
        <v>20</v>
      </c>
      <c r="X257" s="45">
        <v>1.8</v>
      </c>
      <c r="Y257">
        <v>34</v>
      </c>
      <c r="Z257" s="28">
        <f t="shared" si="66"/>
        <v>0</v>
      </c>
      <c r="AA257" s="28">
        <f t="shared" si="67"/>
        <v>1.45</v>
      </c>
      <c r="AB257" s="28">
        <f t="shared" si="68"/>
        <v>0</v>
      </c>
      <c r="AC257" s="28">
        <f t="shared" si="69"/>
        <v>0</v>
      </c>
      <c r="AD257" s="28">
        <f t="shared" si="70"/>
        <v>0.05</v>
      </c>
      <c r="AE257">
        <f t="shared" si="78"/>
        <v>0</v>
      </c>
      <c r="AF257">
        <f t="shared" si="79"/>
        <v>0.8529411764705882</v>
      </c>
      <c r="AG257">
        <f t="shared" si="80"/>
        <v>0</v>
      </c>
      <c r="AH257">
        <f t="shared" si="81"/>
        <v>0</v>
      </c>
      <c r="AI257">
        <f t="shared" si="82"/>
        <v>2.9411764705882353E-2</v>
      </c>
      <c r="AJ257">
        <v>0</v>
      </c>
      <c r="AK257">
        <v>29</v>
      </c>
      <c r="AL257">
        <v>0</v>
      </c>
      <c r="AM257">
        <v>0</v>
      </c>
      <c r="AN257">
        <v>1</v>
      </c>
      <c r="AO257" s="22">
        <f t="shared" si="71"/>
        <v>0</v>
      </c>
      <c r="AP257" s="22">
        <f t="shared" si="72"/>
        <v>3.4011973816621555</v>
      </c>
      <c r="AQ257" s="22">
        <f t="shared" si="73"/>
        <v>0</v>
      </c>
      <c r="AR257" s="22">
        <f t="shared" si="74"/>
        <v>0</v>
      </c>
      <c r="AS257" s="22">
        <f t="shared" si="75"/>
        <v>0.69314718055994529</v>
      </c>
    </row>
    <row r="258" spans="1:45" x14ac:dyDescent="0.25">
      <c r="A258" s="1" t="s">
        <v>8</v>
      </c>
      <c r="B258" s="2">
        <v>42558</v>
      </c>
      <c r="C258">
        <v>2198</v>
      </c>
      <c r="D258">
        <v>2016</v>
      </c>
      <c r="E258">
        <v>735</v>
      </c>
      <c r="F258" s="1">
        <v>57475</v>
      </c>
      <c r="G258" s="44">
        <f t="shared" si="65"/>
        <v>0</v>
      </c>
      <c r="H258" s="6">
        <v>41.820140000000002</v>
      </c>
      <c r="I258" s="6">
        <v>-81.893389999999997</v>
      </c>
      <c r="J258">
        <v>42.228400000000001</v>
      </c>
      <c r="K258">
        <v>-82.098483333333334</v>
      </c>
      <c r="L258">
        <v>41.508116666666666</v>
      </c>
      <c r="M258">
        <v>-81.739649999999997</v>
      </c>
      <c r="N258" s="22">
        <f t="shared" si="76"/>
        <v>0.45688018448798839</v>
      </c>
      <c r="O258" s="22">
        <f t="shared" si="77"/>
        <v>0.34784270603887302</v>
      </c>
      <c r="P258" s="22">
        <f t="shared" si="64"/>
        <v>0.34784270603887302</v>
      </c>
      <c r="Q258" s="43">
        <v>22.6</v>
      </c>
      <c r="R258" s="43">
        <v>10.9</v>
      </c>
      <c r="S258">
        <v>20</v>
      </c>
      <c r="T258" s="1">
        <v>16.5</v>
      </c>
      <c r="U258" s="1">
        <v>1</v>
      </c>
      <c r="V258" s="1">
        <v>2715</v>
      </c>
      <c r="W258" s="44">
        <v>20</v>
      </c>
      <c r="X258" s="45">
        <v>1.8</v>
      </c>
      <c r="Y258">
        <v>108</v>
      </c>
      <c r="Z258" s="28">
        <f t="shared" si="66"/>
        <v>0</v>
      </c>
      <c r="AA258" s="28">
        <f t="shared" si="67"/>
        <v>3.05</v>
      </c>
      <c r="AB258" s="28">
        <f t="shared" si="68"/>
        <v>1.75</v>
      </c>
      <c r="AC258" s="28">
        <f t="shared" si="69"/>
        <v>0</v>
      </c>
      <c r="AD258" s="28">
        <f t="shared" si="70"/>
        <v>0.3</v>
      </c>
      <c r="AE258">
        <f t="shared" si="78"/>
        <v>0</v>
      </c>
      <c r="AF258">
        <f t="shared" si="79"/>
        <v>0.56481481481481477</v>
      </c>
      <c r="AG258">
        <f t="shared" si="80"/>
        <v>0.32407407407407407</v>
      </c>
      <c r="AH258">
        <f t="shared" si="81"/>
        <v>0</v>
      </c>
      <c r="AI258">
        <f t="shared" si="82"/>
        <v>5.5555555555555552E-2</v>
      </c>
      <c r="AJ258">
        <v>0</v>
      </c>
      <c r="AK258">
        <v>61</v>
      </c>
      <c r="AL258">
        <v>35</v>
      </c>
      <c r="AM258">
        <v>0</v>
      </c>
      <c r="AN258">
        <v>6</v>
      </c>
      <c r="AO258" s="22">
        <f t="shared" si="71"/>
        <v>0</v>
      </c>
      <c r="AP258" s="22">
        <f t="shared" si="72"/>
        <v>4.1271343850450917</v>
      </c>
      <c r="AQ258" s="22">
        <f t="shared" si="73"/>
        <v>3.5835189384561099</v>
      </c>
      <c r="AR258" s="22">
        <f t="shared" si="74"/>
        <v>0</v>
      </c>
      <c r="AS258" s="22">
        <f t="shared" si="75"/>
        <v>1.9459101490553132</v>
      </c>
    </row>
    <row r="259" spans="1:45" x14ac:dyDescent="0.25">
      <c r="A259" s="1" t="s">
        <v>8</v>
      </c>
      <c r="B259" s="2">
        <v>42558</v>
      </c>
      <c r="C259">
        <v>2198</v>
      </c>
      <c r="D259">
        <v>2016</v>
      </c>
      <c r="E259">
        <v>736</v>
      </c>
      <c r="F259" s="1">
        <v>57725</v>
      </c>
      <c r="G259" s="44">
        <f t="shared" si="65"/>
        <v>1</v>
      </c>
      <c r="H259" s="6">
        <v>41.880769999999998</v>
      </c>
      <c r="I259" s="6">
        <v>-81.418890000000005</v>
      </c>
      <c r="J259">
        <v>42.424050000000001</v>
      </c>
      <c r="K259">
        <v>-81.688833333333335</v>
      </c>
      <c r="L259">
        <v>41.758499999999998</v>
      </c>
      <c r="M259">
        <v>-81.356416666666661</v>
      </c>
      <c r="N259" s="22">
        <f t="shared" si="76"/>
        <v>0.60664863109638067</v>
      </c>
      <c r="O259" s="22">
        <f t="shared" si="77"/>
        <v>0.13730575471472115</v>
      </c>
      <c r="P259" s="22">
        <f t="shared" si="64"/>
        <v>0.13730575471472115</v>
      </c>
      <c r="Q259" s="43"/>
      <c r="R259" s="43"/>
      <c r="S259">
        <v>20</v>
      </c>
      <c r="T259" s="1">
        <v>8.8000000000000007</v>
      </c>
      <c r="U259" s="1">
        <v>0</v>
      </c>
      <c r="V259" s="1">
        <v>2310</v>
      </c>
      <c r="W259" s="44">
        <v>20</v>
      </c>
      <c r="X259" s="45">
        <v>1.8</v>
      </c>
      <c r="Y259">
        <v>49</v>
      </c>
      <c r="Z259" s="28">
        <f t="shared" si="66"/>
        <v>0</v>
      </c>
      <c r="AA259" s="28">
        <f t="shared" si="67"/>
        <v>2.15</v>
      </c>
      <c r="AB259" s="28">
        <f t="shared" si="68"/>
        <v>0</v>
      </c>
      <c r="AC259" s="28">
        <f t="shared" si="69"/>
        <v>0</v>
      </c>
      <c r="AD259" s="28">
        <f t="shared" si="70"/>
        <v>0.2</v>
      </c>
      <c r="AE259">
        <f t="shared" si="78"/>
        <v>0</v>
      </c>
      <c r="AF259">
        <f t="shared" si="79"/>
        <v>0.87755102040816324</v>
      </c>
      <c r="AG259">
        <f t="shared" si="80"/>
        <v>0</v>
      </c>
      <c r="AH259">
        <f t="shared" si="81"/>
        <v>0</v>
      </c>
      <c r="AI259">
        <f t="shared" si="82"/>
        <v>8.1632653061224483E-2</v>
      </c>
      <c r="AJ259">
        <v>0</v>
      </c>
      <c r="AK259">
        <v>43</v>
      </c>
      <c r="AL259">
        <v>0</v>
      </c>
      <c r="AM259">
        <v>0</v>
      </c>
      <c r="AN259">
        <v>4</v>
      </c>
      <c r="AO259" s="22">
        <f t="shared" si="71"/>
        <v>0</v>
      </c>
      <c r="AP259" s="22">
        <f t="shared" si="72"/>
        <v>3.784189633918261</v>
      </c>
      <c r="AQ259" s="22">
        <f t="shared" si="73"/>
        <v>0</v>
      </c>
      <c r="AR259" s="22">
        <f t="shared" si="74"/>
        <v>0</v>
      </c>
      <c r="AS259" s="22">
        <f t="shared" si="75"/>
        <v>1.6094379124341003</v>
      </c>
    </row>
    <row r="260" spans="1:45" x14ac:dyDescent="0.25">
      <c r="A260" s="1" t="s">
        <v>8</v>
      </c>
      <c r="B260" s="2">
        <v>42558</v>
      </c>
      <c r="C260">
        <v>2198</v>
      </c>
      <c r="D260">
        <v>2016</v>
      </c>
      <c r="E260">
        <v>737</v>
      </c>
      <c r="F260" s="1">
        <v>57725</v>
      </c>
      <c r="G260" s="44">
        <f t="shared" si="65"/>
        <v>1</v>
      </c>
      <c r="H260" s="6">
        <v>41.936129999999999</v>
      </c>
      <c r="I260" s="6">
        <v>-81.448160000000001</v>
      </c>
      <c r="J260">
        <v>42.424050000000001</v>
      </c>
      <c r="K260">
        <v>-81.688833333333335</v>
      </c>
      <c r="L260">
        <v>41.758499999999998</v>
      </c>
      <c r="M260">
        <v>-81.356416666666661</v>
      </c>
      <c r="N260" s="22">
        <f t="shared" si="76"/>
        <v>0.54404924389045928</v>
      </c>
      <c r="O260" s="22">
        <f t="shared" si="77"/>
        <v>0.19992312550356117</v>
      </c>
      <c r="P260" s="22">
        <f t="shared" si="64"/>
        <v>0.19992312550356117</v>
      </c>
      <c r="Q260" s="43"/>
      <c r="R260" s="43"/>
      <c r="S260">
        <v>20</v>
      </c>
      <c r="T260" s="1">
        <v>13.1</v>
      </c>
      <c r="U260" s="1">
        <v>0</v>
      </c>
      <c r="V260" s="1">
        <v>2400</v>
      </c>
      <c r="W260" s="44">
        <v>20</v>
      </c>
      <c r="X260" s="45">
        <v>1.8</v>
      </c>
      <c r="Y260">
        <v>132</v>
      </c>
      <c r="Z260" s="28">
        <f t="shared" si="66"/>
        <v>0</v>
      </c>
      <c r="AA260" s="28">
        <f t="shared" si="67"/>
        <v>5.7</v>
      </c>
      <c r="AB260" s="28">
        <f t="shared" si="68"/>
        <v>0.85</v>
      </c>
      <c r="AC260" s="28">
        <f t="shared" si="69"/>
        <v>0</v>
      </c>
      <c r="AD260" s="28">
        <f t="shared" si="70"/>
        <v>0.05</v>
      </c>
      <c r="AE260">
        <f t="shared" si="78"/>
        <v>0</v>
      </c>
      <c r="AF260">
        <f t="shared" si="79"/>
        <v>0.86363636363636365</v>
      </c>
      <c r="AG260">
        <f t="shared" si="80"/>
        <v>0.12878787878787878</v>
      </c>
      <c r="AH260">
        <f t="shared" si="81"/>
        <v>0</v>
      </c>
      <c r="AI260">
        <f t="shared" si="82"/>
        <v>7.575757575757576E-3</v>
      </c>
      <c r="AJ260">
        <v>0</v>
      </c>
      <c r="AK260">
        <v>114</v>
      </c>
      <c r="AL260">
        <v>17</v>
      </c>
      <c r="AM260">
        <v>0</v>
      </c>
      <c r="AN260">
        <v>1</v>
      </c>
      <c r="AO260" s="22">
        <f t="shared" si="71"/>
        <v>0</v>
      </c>
      <c r="AP260" s="22">
        <f t="shared" si="72"/>
        <v>4.7449321283632502</v>
      </c>
      <c r="AQ260" s="22">
        <f t="shared" si="73"/>
        <v>2.8903717578961645</v>
      </c>
      <c r="AR260" s="22">
        <f t="shared" si="74"/>
        <v>0</v>
      </c>
      <c r="AS260" s="22">
        <f t="shared" si="75"/>
        <v>0.69314718055994529</v>
      </c>
    </row>
    <row r="261" spans="1:45" x14ac:dyDescent="0.25">
      <c r="A261" s="1" t="s">
        <v>8</v>
      </c>
      <c r="B261" s="2">
        <v>42559</v>
      </c>
      <c r="C261">
        <v>2198</v>
      </c>
      <c r="D261">
        <v>2016</v>
      </c>
      <c r="E261">
        <v>738</v>
      </c>
      <c r="F261" s="1">
        <v>57725</v>
      </c>
      <c r="G261" s="44">
        <f t="shared" si="65"/>
        <v>1</v>
      </c>
      <c r="H261" s="6">
        <v>41.99926</v>
      </c>
      <c r="I261" s="6">
        <v>-81.478809999999996</v>
      </c>
      <c r="J261">
        <v>42.424050000000001</v>
      </c>
      <c r="K261">
        <v>-81.688833333333335</v>
      </c>
      <c r="L261">
        <v>41.758499999999998</v>
      </c>
      <c r="M261">
        <v>-81.356416666666661</v>
      </c>
      <c r="N261" s="22">
        <f t="shared" si="76"/>
        <v>0.47387376446100943</v>
      </c>
      <c r="O261" s="22">
        <f t="shared" si="77"/>
        <v>0.27008425656532742</v>
      </c>
      <c r="P261" s="22">
        <f t="shared" si="64"/>
        <v>0.27008425656532742</v>
      </c>
      <c r="Q261" s="43">
        <v>23.2</v>
      </c>
      <c r="R261" s="43">
        <v>13.6</v>
      </c>
      <c r="S261">
        <v>20</v>
      </c>
      <c r="T261" s="1">
        <v>17</v>
      </c>
      <c r="U261" s="1">
        <v>1</v>
      </c>
      <c r="V261" s="1">
        <v>2455</v>
      </c>
      <c r="W261" s="44">
        <v>20</v>
      </c>
      <c r="X261" s="45">
        <v>1.8</v>
      </c>
      <c r="Y261">
        <v>392</v>
      </c>
      <c r="Z261" s="28">
        <f t="shared" si="66"/>
        <v>0</v>
      </c>
      <c r="AA261" s="28">
        <f t="shared" si="67"/>
        <v>3.55</v>
      </c>
      <c r="AB261" s="28">
        <f t="shared" si="68"/>
        <v>15.7</v>
      </c>
      <c r="AC261" s="28">
        <f t="shared" si="69"/>
        <v>0</v>
      </c>
      <c r="AD261" s="28">
        <f t="shared" si="70"/>
        <v>0</v>
      </c>
      <c r="AE261">
        <f t="shared" si="78"/>
        <v>0</v>
      </c>
      <c r="AF261">
        <f t="shared" si="79"/>
        <v>0.18112244897959184</v>
      </c>
      <c r="AG261">
        <f t="shared" si="80"/>
        <v>0.80102040816326525</v>
      </c>
      <c r="AH261">
        <f t="shared" si="81"/>
        <v>0</v>
      </c>
      <c r="AI261">
        <f t="shared" si="82"/>
        <v>0</v>
      </c>
      <c r="AJ261">
        <v>0</v>
      </c>
      <c r="AK261">
        <v>71</v>
      </c>
      <c r="AL261">
        <v>314</v>
      </c>
      <c r="AM261">
        <v>0</v>
      </c>
      <c r="AN261">
        <v>0</v>
      </c>
      <c r="AO261" s="22">
        <f t="shared" si="71"/>
        <v>0</v>
      </c>
      <c r="AP261" s="22">
        <f t="shared" si="72"/>
        <v>4.2766661190160553</v>
      </c>
      <c r="AQ261" s="22">
        <f t="shared" si="73"/>
        <v>5.7525726388256331</v>
      </c>
      <c r="AR261" s="22">
        <f t="shared" si="74"/>
        <v>0</v>
      </c>
      <c r="AS261" s="22">
        <f t="shared" si="75"/>
        <v>0</v>
      </c>
    </row>
    <row r="262" spans="1:45" x14ac:dyDescent="0.25">
      <c r="A262" s="1" t="s">
        <v>10</v>
      </c>
      <c r="B262" s="11">
        <v>42556</v>
      </c>
      <c r="C262">
        <v>2198</v>
      </c>
      <c r="D262">
        <v>2016</v>
      </c>
      <c r="E262">
        <v>1001</v>
      </c>
      <c r="F262" s="1">
        <v>58100</v>
      </c>
      <c r="G262" s="44">
        <f t="shared" si="65"/>
        <v>1</v>
      </c>
      <c r="H262" s="13">
        <v>42.387</v>
      </c>
      <c r="I262" s="13">
        <v>-80.900000000000006</v>
      </c>
      <c r="J262">
        <v>42.632766666666669</v>
      </c>
      <c r="K262">
        <v>-81.01636666666667</v>
      </c>
      <c r="L262">
        <v>41.96221666666667</v>
      </c>
      <c r="M262">
        <v>-80.744650000000007</v>
      </c>
      <c r="N262" s="22">
        <f t="shared" si="76"/>
        <v>0.27192362081208721</v>
      </c>
      <c r="O262" s="22">
        <f t="shared" si="77"/>
        <v>0.45229912975571246</v>
      </c>
      <c r="P262" s="22">
        <f t="shared" si="64"/>
        <v>0.27192362081208721</v>
      </c>
      <c r="Q262">
        <v>21.1</v>
      </c>
      <c r="R262">
        <v>10.9</v>
      </c>
      <c r="S262">
        <v>20.6</v>
      </c>
      <c r="T262" s="1">
        <v>18</v>
      </c>
      <c r="U262" s="1">
        <v>1</v>
      </c>
      <c r="V262">
        <v>2155</v>
      </c>
      <c r="W262" s="24">
        <v>20</v>
      </c>
      <c r="X262" s="24">
        <v>0.97</v>
      </c>
      <c r="Y262">
        <v>109</v>
      </c>
      <c r="Z262" s="28">
        <f t="shared" si="66"/>
        <v>0</v>
      </c>
      <c r="AA262" s="28">
        <f t="shared" si="67"/>
        <v>1.1499999999999999</v>
      </c>
      <c r="AB262" s="28">
        <f t="shared" si="68"/>
        <v>3.45</v>
      </c>
      <c r="AC262" s="28">
        <f t="shared" si="69"/>
        <v>0</v>
      </c>
      <c r="AD262" s="28">
        <f t="shared" si="70"/>
        <v>0</v>
      </c>
      <c r="AE262">
        <f t="shared" si="78"/>
        <v>0</v>
      </c>
      <c r="AF262">
        <f t="shared" si="79"/>
        <v>0.21100917431192662</v>
      </c>
      <c r="AG262">
        <f t="shared" si="80"/>
        <v>0.6330275229357798</v>
      </c>
      <c r="AH262">
        <f t="shared" si="81"/>
        <v>0</v>
      </c>
      <c r="AI262">
        <f t="shared" si="82"/>
        <v>0</v>
      </c>
      <c r="AJ262">
        <v>0</v>
      </c>
      <c r="AK262">
        <v>23</v>
      </c>
      <c r="AL262">
        <v>69</v>
      </c>
      <c r="AM262">
        <v>0</v>
      </c>
      <c r="AN262">
        <v>0</v>
      </c>
      <c r="AO262" s="22">
        <f t="shared" si="71"/>
        <v>0</v>
      </c>
      <c r="AP262" s="22">
        <f t="shared" si="72"/>
        <v>3.1780538303479458</v>
      </c>
      <c r="AQ262" s="22">
        <f t="shared" si="73"/>
        <v>4.2484952420493594</v>
      </c>
      <c r="AR262" s="22">
        <f t="shared" si="74"/>
        <v>0</v>
      </c>
      <c r="AS262" s="22">
        <f t="shared" si="75"/>
        <v>0</v>
      </c>
    </row>
    <row r="263" spans="1:45" x14ac:dyDescent="0.25">
      <c r="A263" s="1" t="s">
        <v>10</v>
      </c>
      <c r="B263" s="11">
        <v>42556</v>
      </c>
      <c r="C263">
        <v>2198</v>
      </c>
      <c r="D263">
        <v>2016</v>
      </c>
      <c r="E263">
        <v>1002</v>
      </c>
      <c r="F263" s="1">
        <v>58100</v>
      </c>
      <c r="G263" s="44">
        <f t="shared" si="65"/>
        <v>1</v>
      </c>
      <c r="H263" s="6">
        <v>42.385166666666663</v>
      </c>
      <c r="I263" s="6">
        <v>-80.918833333333339</v>
      </c>
      <c r="J263">
        <v>42.632766666666669</v>
      </c>
      <c r="K263">
        <v>-81.01636666666667</v>
      </c>
      <c r="L263">
        <v>41.96221666666667</v>
      </c>
      <c r="M263">
        <v>-80.744650000000007</v>
      </c>
      <c r="N263" s="22">
        <f t="shared" si="76"/>
        <v>0.26611747614749659</v>
      </c>
      <c r="O263" s="22">
        <f t="shared" si="77"/>
        <v>0.45741287269938602</v>
      </c>
      <c r="P263" s="22">
        <f t="shared" si="64"/>
        <v>0.26611747614749659</v>
      </c>
      <c r="Q263">
        <v>20.98</v>
      </c>
      <c r="R263">
        <v>19.43</v>
      </c>
      <c r="S263">
        <v>20.6</v>
      </c>
      <c r="T263" s="1">
        <v>16</v>
      </c>
      <c r="U263" s="1">
        <v>1</v>
      </c>
      <c r="V263">
        <v>2310</v>
      </c>
      <c r="W263" s="24">
        <v>20</v>
      </c>
      <c r="X263" s="24">
        <v>0.99</v>
      </c>
      <c r="Y263">
        <v>121</v>
      </c>
      <c r="Z263" s="28">
        <f t="shared" si="66"/>
        <v>0</v>
      </c>
      <c r="AA263" s="28">
        <f t="shared" si="67"/>
        <v>5.8</v>
      </c>
      <c r="AB263" s="28">
        <f t="shared" si="68"/>
        <v>0</v>
      </c>
      <c r="AC263" s="28">
        <f t="shared" si="69"/>
        <v>0</v>
      </c>
      <c r="AD263" s="28">
        <f t="shared" si="70"/>
        <v>0</v>
      </c>
      <c r="AE263">
        <f t="shared" si="78"/>
        <v>0</v>
      </c>
      <c r="AF263">
        <f t="shared" si="79"/>
        <v>0.95867768595041325</v>
      </c>
      <c r="AG263">
        <f t="shared" si="80"/>
        <v>0</v>
      </c>
      <c r="AH263">
        <f t="shared" si="81"/>
        <v>0</v>
      </c>
      <c r="AI263">
        <f t="shared" si="82"/>
        <v>0</v>
      </c>
      <c r="AJ263">
        <v>0</v>
      </c>
      <c r="AK263">
        <v>116</v>
      </c>
      <c r="AL263">
        <v>0</v>
      </c>
      <c r="AM263">
        <v>0</v>
      </c>
      <c r="AN263">
        <v>0</v>
      </c>
      <c r="AO263" s="22">
        <f t="shared" si="71"/>
        <v>0</v>
      </c>
      <c r="AP263" s="22">
        <f t="shared" si="72"/>
        <v>4.7621739347977563</v>
      </c>
      <c r="AQ263" s="22">
        <f t="shared" si="73"/>
        <v>0</v>
      </c>
      <c r="AR263" s="22">
        <f t="shared" si="74"/>
        <v>0</v>
      </c>
      <c r="AS263" s="22">
        <f t="shared" si="75"/>
        <v>0</v>
      </c>
    </row>
    <row r="264" spans="1:45" x14ac:dyDescent="0.25">
      <c r="A264" s="1" t="s">
        <v>10</v>
      </c>
      <c r="B264" s="11">
        <v>42557</v>
      </c>
      <c r="C264">
        <v>2198</v>
      </c>
      <c r="D264">
        <v>2016</v>
      </c>
      <c r="E264">
        <v>1003</v>
      </c>
      <c r="F264" s="1">
        <v>58100</v>
      </c>
      <c r="G264" s="44">
        <f t="shared" si="65"/>
        <v>1</v>
      </c>
      <c r="H264" s="6">
        <v>42.385333333333335</v>
      </c>
      <c r="I264" s="6">
        <v>-80.918000000000006</v>
      </c>
      <c r="J264">
        <v>42.632766666666669</v>
      </c>
      <c r="K264">
        <v>-81.01636666666667</v>
      </c>
      <c r="L264">
        <v>41.96221666666667</v>
      </c>
      <c r="M264">
        <v>-80.744650000000007</v>
      </c>
      <c r="N264" s="22">
        <f t="shared" si="76"/>
        <v>0.26626914120031819</v>
      </c>
      <c r="O264" s="22">
        <f t="shared" si="77"/>
        <v>0.45725040854121679</v>
      </c>
      <c r="P264" s="22">
        <f t="shared" si="64"/>
        <v>0.26626914120031819</v>
      </c>
      <c r="Q264">
        <v>21.06</v>
      </c>
      <c r="R264">
        <v>19.5</v>
      </c>
      <c r="S264">
        <v>20.7</v>
      </c>
      <c r="T264" s="1">
        <v>13</v>
      </c>
      <c r="U264" s="1">
        <v>0</v>
      </c>
      <c r="V264">
        <v>2401</v>
      </c>
      <c r="W264" s="24">
        <v>20</v>
      </c>
      <c r="X264" s="24">
        <v>0.99</v>
      </c>
      <c r="Y264">
        <v>248</v>
      </c>
      <c r="Z264" s="28">
        <f t="shared" si="66"/>
        <v>0</v>
      </c>
      <c r="AA264" s="28">
        <f t="shared" si="67"/>
        <v>12.4</v>
      </c>
      <c r="AB264" s="28">
        <f t="shared" si="68"/>
        <v>0</v>
      </c>
      <c r="AC264" s="28">
        <f t="shared" si="69"/>
        <v>0</v>
      </c>
      <c r="AD264" s="28">
        <f t="shared" si="70"/>
        <v>0</v>
      </c>
      <c r="AE264">
        <f t="shared" si="78"/>
        <v>0</v>
      </c>
      <c r="AF264">
        <f t="shared" si="79"/>
        <v>1</v>
      </c>
      <c r="AG264">
        <f t="shared" si="80"/>
        <v>0</v>
      </c>
      <c r="AH264">
        <f t="shared" si="81"/>
        <v>0</v>
      </c>
      <c r="AI264">
        <f t="shared" si="82"/>
        <v>0</v>
      </c>
      <c r="AJ264">
        <v>0</v>
      </c>
      <c r="AK264">
        <v>248</v>
      </c>
      <c r="AL264">
        <v>0</v>
      </c>
      <c r="AM264">
        <v>0</v>
      </c>
      <c r="AN264">
        <v>0</v>
      </c>
      <c r="AO264" s="22">
        <f t="shared" si="71"/>
        <v>0</v>
      </c>
      <c r="AP264" s="22">
        <f t="shared" si="72"/>
        <v>5.5174528964647074</v>
      </c>
      <c r="AQ264" s="22">
        <f t="shared" si="73"/>
        <v>0</v>
      </c>
      <c r="AR264" s="22">
        <f t="shared" si="74"/>
        <v>0</v>
      </c>
      <c r="AS264" s="22">
        <f t="shared" si="75"/>
        <v>0</v>
      </c>
    </row>
    <row r="265" spans="1:45" x14ac:dyDescent="0.25">
      <c r="A265" s="1" t="s">
        <v>10</v>
      </c>
      <c r="B265" s="11">
        <v>42557</v>
      </c>
      <c r="C265">
        <v>2198</v>
      </c>
      <c r="D265">
        <v>2016</v>
      </c>
      <c r="E265">
        <v>1004</v>
      </c>
      <c r="F265" s="1">
        <v>58100</v>
      </c>
      <c r="G265" s="44">
        <f t="shared" si="65"/>
        <v>1</v>
      </c>
      <c r="H265" s="6">
        <v>42.547666666666665</v>
      </c>
      <c r="I265" s="6">
        <v>-80.984833333333327</v>
      </c>
      <c r="J265">
        <v>42.632766666666669</v>
      </c>
      <c r="K265">
        <v>-81.01636666666667</v>
      </c>
      <c r="L265">
        <v>41.96221666666667</v>
      </c>
      <c r="M265">
        <v>-80.744650000000007</v>
      </c>
      <c r="N265" s="22">
        <f t="shared" si="76"/>
        <v>9.0754399954560971E-2</v>
      </c>
      <c r="O265" s="22">
        <f t="shared" si="77"/>
        <v>0.63280307846209016</v>
      </c>
      <c r="P265" s="22">
        <f t="shared" si="64"/>
        <v>9.0754399954560971E-2</v>
      </c>
      <c r="Q265">
        <v>20.5</v>
      </c>
      <c r="R265">
        <v>10.29</v>
      </c>
      <c r="S265">
        <v>18.100000000000001</v>
      </c>
      <c r="T265" s="1">
        <v>12</v>
      </c>
      <c r="U265" s="1">
        <v>0</v>
      </c>
      <c r="V265">
        <v>2559</v>
      </c>
      <c r="W265" s="24">
        <v>20</v>
      </c>
      <c r="X265" s="24">
        <v>1</v>
      </c>
      <c r="Y265">
        <v>107</v>
      </c>
      <c r="Z265" s="28">
        <f t="shared" si="66"/>
        <v>0</v>
      </c>
      <c r="AA265" s="28">
        <f t="shared" si="67"/>
        <v>4.8499999999999996</v>
      </c>
      <c r="AB265" s="28">
        <f t="shared" si="68"/>
        <v>0.45</v>
      </c>
      <c r="AC265" s="28">
        <f t="shared" si="69"/>
        <v>0</v>
      </c>
      <c r="AD265" s="28">
        <f t="shared" si="70"/>
        <v>0.05</v>
      </c>
      <c r="AE265">
        <f t="shared" si="78"/>
        <v>0</v>
      </c>
      <c r="AF265">
        <f t="shared" si="79"/>
        <v>0.90654205607476634</v>
      </c>
      <c r="AG265">
        <f t="shared" si="80"/>
        <v>8.4112149532710276E-2</v>
      </c>
      <c r="AH265">
        <f t="shared" si="81"/>
        <v>0</v>
      </c>
      <c r="AI265">
        <f t="shared" si="82"/>
        <v>9.3457943925233638E-3</v>
      </c>
      <c r="AJ265">
        <v>0</v>
      </c>
      <c r="AK265">
        <v>97</v>
      </c>
      <c r="AL265">
        <v>9</v>
      </c>
      <c r="AM265">
        <v>0</v>
      </c>
      <c r="AN265">
        <v>1</v>
      </c>
      <c r="AO265" s="22">
        <f t="shared" si="71"/>
        <v>0</v>
      </c>
      <c r="AP265" s="22">
        <f t="shared" si="72"/>
        <v>4.5849674786705723</v>
      </c>
      <c r="AQ265" s="22">
        <f t="shared" si="73"/>
        <v>2.3025850929940459</v>
      </c>
      <c r="AR265" s="22">
        <f t="shared" si="74"/>
        <v>0</v>
      </c>
      <c r="AS265" s="22">
        <f t="shared" si="75"/>
        <v>0.69314718055994529</v>
      </c>
    </row>
    <row r="266" spans="1:45" x14ac:dyDescent="0.25">
      <c r="A266" s="1" t="s">
        <v>10</v>
      </c>
      <c r="B266" s="11">
        <v>42557</v>
      </c>
      <c r="C266">
        <v>2198</v>
      </c>
      <c r="D266">
        <v>2016</v>
      </c>
      <c r="E266">
        <v>1005</v>
      </c>
      <c r="F266" s="1">
        <v>58100</v>
      </c>
      <c r="G266" s="44">
        <f t="shared" si="65"/>
        <v>1</v>
      </c>
      <c r="H266" s="6">
        <v>42.548833333333334</v>
      </c>
      <c r="I266" s="6">
        <v>-80.986333333333334</v>
      </c>
      <c r="J266">
        <v>42.632766666666669</v>
      </c>
      <c r="K266">
        <v>-81.01636666666667</v>
      </c>
      <c r="L266">
        <v>41.96221666666667</v>
      </c>
      <c r="M266">
        <v>-80.744650000000007</v>
      </c>
      <c r="N266" s="22">
        <f t="shared" si="76"/>
        <v>8.9144857145860373E-2</v>
      </c>
      <c r="O266" s="22">
        <f t="shared" si="77"/>
        <v>0.63445247830094931</v>
      </c>
      <c r="P266" s="22">
        <f t="shared" si="64"/>
        <v>8.9144857145860373E-2</v>
      </c>
      <c r="Q266">
        <v>20.57</v>
      </c>
      <c r="R266">
        <v>15.26</v>
      </c>
      <c r="S266">
        <v>18.100000000000001</v>
      </c>
      <c r="T266" s="1">
        <v>9</v>
      </c>
      <c r="U266" s="1">
        <v>0</v>
      </c>
      <c r="V266">
        <v>2651</v>
      </c>
      <c r="W266" s="24">
        <v>20</v>
      </c>
      <c r="X266" s="24">
        <v>1</v>
      </c>
      <c r="Y266">
        <v>1359</v>
      </c>
      <c r="Z266" s="28">
        <f t="shared" si="66"/>
        <v>0</v>
      </c>
      <c r="AA266" s="28">
        <f t="shared" si="67"/>
        <v>67.45</v>
      </c>
      <c r="AB266" s="28">
        <f t="shared" si="68"/>
        <v>0.25</v>
      </c>
      <c r="AC266" s="28">
        <f t="shared" si="69"/>
        <v>0</v>
      </c>
      <c r="AD266" s="28">
        <f t="shared" si="70"/>
        <v>0.2</v>
      </c>
      <c r="AE266">
        <f t="shared" si="78"/>
        <v>0</v>
      </c>
      <c r="AF266">
        <f t="shared" si="79"/>
        <v>0.99264164827078738</v>
      </c>
      <c r="AG266">
        <f t="shared" si="80"/>
        <v>3.6791758646063282E-3</v>
      </c>
      <c r="AH266">
        <f t="shared" si="81"/>
        <v>0</v>
      </c>
      <c r="AI266">
        <f t="shared" si="82"/>
        <v>2.9433406916850625E-3</v>
      </c>
      <c r="AJ266">
        <v>0</v>
      </c>
      <c r="AK266">
        <v>1349</v>
      </c>
      <c r="AL266">
        <v>5</v>
      </c>
      <c r="AM266">
        <v>0</v>
      </c>
      <c r="AN266">
        <v>4</v>
      </c>
      <c r="AO266" s="22">
        <f t="shared" si="71"/>
        <v>0</v>
      </c>
      <c r="AP266" s="22">
        <f t="shared" si="72"/>
        <v>7.2078598714324755</v>
      </c>
      <c r="AQ266" s="22">
        <f t="shared" si="73"/>
        <v>1.791759469228055</v>
      </c>
      <c r="AR266" s="22">
        <f t="shared" si="74"/>
        <v>0</v>
      </c>
      <c r="AS266" s="22">
        <f t="shared" si="75"/>
        <v>1.6094379124341003</v>
      </c>
    </row>
    <row r="267" spans="1:45" x14ac:dyDescent="0.25">
      <c r="A267" s="1" t="s">
        <v>10</v>
      </c>
      <c r="B267" s="11">
        <v>42557</v>
      </c>
      <c r="C267">
        <v>2198</v>
      </c>
      <c r="D267">
        <v>2016</v>
      </c>
      <c r="E267">
        <v>1006</v>
      </c>
      <c r="F267" s="1">
        <v>58100</v>
      </c>
      <c r="G267" s="44">
        <f t="shared" si="65"/>
        <v>1</v>
      </c>
      <c r="H267" s="6">
        <v>42.548000000000002</v>
      </c>
      <c r="I267" s="6">
        <v>-80.983500000000006</v>
      </c>
      <c r="J267">
        <v>42.632766666666669</v>
      </c>
      <c r="K267">
        <v>-81.01636666666667</v>
      </c>
      <c r="L267">
        <v>41.96221666666667</v>
      </c>
      <c r="M267">
        <v>-80.744650000000007</v>
      </c>
      <c r="N267" s="22">
        <f t="shared" si="76"/>
        <v>9.0915375792851361E-2</v>
      </c>
      <c r="O267" s="22">
        <f t="shared" si="77"/>
        <v>0.63260685746449896</v>
      </c>
      <c r="P267" s="22">
        <f t="shared" si="64"/>
        <v>9.0915375792851361E-2</v>
      </c>
      <c r="Q267">
        <v>20.41</v>
      </c>
      <c r="R267">
        <v>17.89</v>
      </c>
      <c r="S267">
        <v>18.2</v>
      </c>
      <c r="T267" s="1">
        <v>6</v>
      </c>
      <c r="U267" s="1">
        <v>0</v>
      </c>
      <c r="V267">
        <v>2743</v>
      </c>
      <c r="W267" s="24">
        <v>20</v>
      </c>
      <c r="X267" s="24">
        <v>0.99</v>
      </c>
      <c r="Y267">
        <v>1359</v>
      </c>
      <c r="Z267" s="28">
        <f t="shared" si="66"/>
        <v>0</v>
      </c>
      <c r="AA267" s="28">
        <f t="shared" si="67"/>
        <v>67.75</v>
      </c>
      <c r="AB267" s="28">
        <f t="shared" si="68"/>
        <v>0</v>
      </c>
      <c r="AC267" s="28">
        <f t="shared" si="69"/>
        <v>0</v>
      </c>
      <c r="AD267" s="28">
        <f t="shared" si="70"/>
        <v>0.2</v>
      </c>
      <c r="AE267">
        <f t="shared" si="78"/>
        <v>0</v>
      </c>
      <c r="AF267">
        <f t="shared" si="79"/>
        <v>0.99705665930831489</v>
      </c>
      <c r="AG267">
        <f t="shared" si="80"/>
        <v>0</v>
      </c>
      <c r="AH267">
        <f t="shared" si="81"/>
        <v>0</v>
      </c>
      <c r="AI267">
        <f t="shared" si="82"/>
        <v>2.9433406916850625E-3</v>
      </c>
      <c r="AJ267">
        <v>0</v>
      </c>
      <c r="AK267">
        <v>1355</v>
      </c>
      <c r="AL267">
        <v>0</v>
      </c>
      <c r="AM267">
        <v>0</v>
      </c>
      <c r="AN267">
        <v>4</v>
      </c>
      <c r="AO267" s="22">
        <f t="shared" si="71"/>
        <v>0</v>
      </c>
      <c r="AP267" s="22">
        <f t="shared" si="72"/>
        <v>7.2122944685003407</v>
      </c>
      <c r="AQ267" s="22">
        <f t="shared" si="73"/>
        <v>0</v>
      </c>
      <c r="AR267" s="22">
        <f t="shared" si="74"/>
        <v>0</v>
      </c>
      <c r="AS267" s="22">
        <f t="shared" si="75"/>
        <v>1.6094379124341003</v>
      </c>
    </row>
    <row r="268" spans="1:45" x14ac:dyDescent="0.25">
      <c r="A268" s="1" t="s">
        <v>10</v>
      </c>
      <c r="B268" s="11">
        <v>42557</v>
      </c>
      <c r="C268">
        <v>2198</v>
      </c>
      <c r="D268">
        <v>2016</v>
      </c>
      <c r="E268">
        <v>1007</v>
      </c>
      <c r="F268" s="1">
        <v>58100</v>
      </c>
      <c r="G268" s="44">
        <f t="shared" si="65"/>
        <v>1</v>
      </c>
      <c r="H268" s="6">
        <v>42.608333333333334</v>
      </c>
      <c r="I268" s="6">
        <v>-81.034000000000006</v>
      </c>
      <c r="J268">
        <v>42.632766666666669</v>
      </c>
      <c r="K268">
        <v>-81.01636666666667</v>
      </c>
      <c r="L268">
        <v>41.96221666666667</v>
      </c>
      <c r="M268">
        <v>-80.744650000000007</v>
      </c>
      <c r="N268" s="22">
        <f t="shared" si="76"/>
        <v>3.0131747745897036E-2</v>
      </c>
      <c r="O268" s="22">
        <f t="shared" si="77"/>
        <v>0.70794785785708869</v>
      </c>
      <c r="P268" s="22">
        <f t="shared" si="64"/>
        <v>3.0131747745897036E-2</v>
      </c>
      <c r="Q268">
        <v>20.16</v>
      </c>
      <c r="R268">
        <v>11.4</v>
      </c>
      <c r="S268">
        <v>14.5</v>
      </c>
      <c r="T268" s="1">
        <v>9</v>
      </c>
      <c r="U268" s="1">
        <v>0</v>
      </c>
      <c r="V268">
        <v>2855</v>
      </c>
      <c r="W268" s="24">
        <v>20</v>
      </c>
      <c r="X268" s="24">
        <v>0.97</v>
      </c>
      <c r="Y268">
        <v>1728</v>
      </c>
      <c r="Z268" s="28">
        <f t="shared" si="66"/>
        <v>0</v>
      </c>
      <c r="AA268" s="28">
        <f t="shared" si="67"/>
        <v>1.35</v>
      </c>
      <c r="AB268" s="28">
        <f t="shared" si="68"/>
        <v>85.05</v>
      </c>
      <c r="AC268" s="28">
        <f t="shared" si="69"/>
        <v>0</v>
      </c>
      <c r="AD268" s="28">
        <f t="shared" si="70"/>
        <v>0</v>
      </c>
      <c r="AE268">
        <f t="shared" si="78"/>
        <v>0</v>
      </c>
      <c r="AF268">
        <f t="shared" si="79"/>
        <v>1.5625E-2</v>
      </c>
      <c r="AG268">
        <f t="shared" si="80"/>
        <v>0.984375</v>
      </c>
      <c r="AH268">
        <f t="shared" si="81"/>
        <v>0</v>
      </c>
      <c r="AI268">
        <f t="shared" si="82"/>
        <v>0</v>
      </c>
      <c r="AJ268">
        <v>0</v>
      </c>
      <c r="AK268">
        <v>27</v>
      </c>
      <c r="AL268">
        <v>1701</v>
      </c>
      <c r="AM268">
        <v>0</v>
      </c>
      <c r="AN268">
        <v>0</v>
      </c>
      <c r="AO268" s="22">
        <f t="shared" si="71"/>
        <v>0</v>
      </c>
      <c r="AP268" s="22">
        <f t="shared" si="72"/>
        <v>3.3322045101752038</v>
      </c>
      <c r="AQ268" s="22">
        <f t="shared" si="73"/>
        <v>7.4395593091333199</v>
      </c>
      <c r="AR268" s="22">
        <f t="shared" si="74"/>
        <v>0</v>
      </c>
      <c r="AS268" s="22">
        <f t="shared" si="75"/>
        <v>0</v>
      </c>
    </row>
    <row r="269" spans="1:45" x14ac:dyDescent="0.25">
      <c r="A269" s="1" t="s">
        <v>10</v>
      </c>
      <c r="B269" s="11">
        <v>42557</v>
      </c>
      <c r="C269">
        <v>2198</v>
      </c>
      <c r="D269">
        <v>2016</v>
      </c>
      <c r="E269">
        <v>1008</v>
      </c>
      <c r="F269" s="1">
        <v>58100</v>
      </c>
      <c r="G269" s="44">
        <f t="shared" si="65"/>
        <v>1</v>
      </c>
      <c r="H269" s="6">
        <v>42.623333333333335</v>
      </c>
      <c r="I269" s="6">
        <v>-81.013000000000005</v>
      </c>
      <c r="J269">
        <v>42.632766666666669</v>
      </c>
      <c r="K269">
        <v>-81.01636666666667</v>
      </c>
      <c r="L269">
        <v>41.96221666666667</v>
      </c>
      <c r="M269">
        <v>-80.744650000000007</v>
      </c>
      <c r="N269" s="22">
        <f t="shared" si="76"/>
        <v>1.0016098153583508E-2</v>
      </c>
      <c r="O269" s="22">
        <f t="shared" si="77"/>
        <v>0.71350330724141775</v>
      </c>
      <c r="P269" s="22">
        <f t="shared" si="64"/>
        <v>1.0016098153583508E-2</v>
      </c>
      <c r="Q269">
        <v>18.98</v>
      </c>
      <c r="R269">
        <v>13.75</v>
      </c>
      <c r="S269">
        <v>13.7</v>
      </c>
      <c r="T269" s="1">
        <v>6</v>
      </c>
      <c r="U269" s="1">
        <v>0</v>
      </c>
      <c r="V269">
        <v>2928</v>
      </c>
      <c r="W269" s="24">
        <v>20</v>
      </c>
      <c r="X269" s="24">
        <v>0.97</v>
      </c>
      <c r="Y269">
        <v>93</v>
      </c>
      <c r="Z269" s="28">
        <f t="shared" si="66"/>
        <v>0</v>
      </c>
      <c r="AA269" s="28">
        <f t="shared" si="67"/>
        <v>4.5</v>
      </c>
      <c r="AB269" s="28">
        <f t="shared" si="68"/>
        <v>0.15</v>
      </c>
      <c r="AC269" s="28">
        <f t="shared" si="69"/>
        <v>0</v>
      </c>
      <c r="AD269" s="28">
        <f t="shared" si="70"/>
        <v>0</v>
      </c>
      <c r="AE269">
        <f t="shared" si="78"/>
        <v>0</v>
      </c>
      <c r="AF269">
        <f t="shared" si="79"/>
        <v>0.967741935483871</v>
      </c>
      <c r="AG269">
        <f t="shared" si="80"/>
        <v>3.2258064516129031E-2</v>
      </c>
      <c r="AH269">
        <f t="shared" si="81"/>
        <v>0</v>
      </c>
      <c r="AI269">
        <f t="shared" si="82"/>
        <v>0</v>
      </c>
      <c r="AJ269">
        <v>0</v>
      </c>
      <c r="AK269">
        <v>90</v>
      </c>
      <c r="AL269">
        <v>3</v>
      </c>
      <c r="AM269">
        <v>0</v>
      </c>
      <c r="AN269">
        <v>0</v>
      </c>
      <c r="AO269" s="22">
        <f t="shared" si="71"/>
        <v>0</v>
      </c>
      <c r="AP269" s="22">
        <f t="shared" si="72"/>
        <v>4.5108595065168497</v>
      </c>
      <c r="AQ269" s="22">
        <f t="shared" si="73"/>
        <v>1.3862943611198906</v>
      </c>
      <c r="AR269" s="22">
        <f t="shared" si="74"/>
        <v>0</v>
      </c>
      <c r="AS269" s="22">
        <f t="shared" si="75"/>
        <v>0</v>
      </c>
    </row>
    <row r="270" spans="1:45" x14ac:dyDescent="0.25">
      <c r="A270" s="1" t="s">
        <v>10</v>
      </c>
      <c r="B270" s="11">
        <v>42557</v>
      </c>
      <c r="C270">
        <v>2198</v>
      </c>
      <c r="D270">
        <v>2016</v>
      </c>
      <c r="E270">
        <v>2001</v>
      </c>
      <c r="F270" s="1">
        <v>57850</v>
      </c>
      <c r="G270" s="44">
        <f t="shared" si="65"/>
        <v>1</v>
      </c>
      <c r="H270" s="6">
        <v>42.563166666666667</v>
      </c>
      <c r="I270" s="6">
        <v>-81.470166666666671</v>
      </c>
      <c r="J270">
        <v>42.566916666666664</v>
      </c>
      <c r="K270">
        <v>-81.47208333333333</v>
      </c>
      <c r="L270">
        <v>41.819366666666667</v>
      </c>
      <c r="M270">
        <v>-81.155166666666673</v>
      </c>
      <c r="N270" s="22">
        <f t="shared" si="76"/>
        <v>4.2114262561580088E-3</v>
      </c>
      <c r="O270" s="22">
        <f t="shared" si="77"/>
        <v>0.8077520906812925</v>
      </c>
      <c r="P270" s="22">
        <f t="shared" si="64"/>
        <v>4.2114262561580088E-3</v>
      </c>
      <c r="Q270">
        <v>19.12</v>
      </c>
      <c r="R270">
        <v>12.06</v>
      </c>
      <c r="S270">
        <v>11.8</v>
      </c>
      <c r="T270" s="1">
        <v>7</v>
      </c>
      <c r="U270" s="1">
        <v>0</v>
      </c>
      <c r="V270">
        <v>2174</v>
      </c>
      <c r="W270" s="24">
        <v>20</v>
      </c>
      <c r="X270" s="24">
        <v>0.95</v>
      </c>
      <c r="Y270">
        <v>1005</v>
      </c>
      <c r="Z270" s="28">
        <f t="shared" si="66"/>
        <v>0</v>
      </c>
      <c r="AA270" s="28">
        <f t="shared" si="67"/>
        <v>3.95</v>
      </c>
      <c r="AB270" s="28">
        <f t="shared" si="68"/>
        <v>46.2</v>
      </c>
      <c r="AC270" s="28">
        <f t="shared" si="69"/>
        <v>0</v>
      </c>
      <c r="AD270" s="28">
        <f t="shared" si="70"/>
        <v>0.05</v>
      </c>
      <c r="AE270">
        <f t="shared" si="78"/>
        <v>0</v>
      </c>
      <c r="AF270">
        <f t="shared" si="79"/>
        <v>7.8606965174129351E-2</v>
      </c>
      <c r="AG270">
        <f t="shared" si="80"/>
        <v>0.91940298507462681</v>
      </c>
      <c r="AH270">
        <f t="shared" si="81"/>
        <v>0</v>
      </c>
      <c r="AI270">
        <f t="shared" si="82"/>
        <v>9.9502487562189048E-4</v>
      </c>
      <c r="AJ270">
        <v>0</v>
      </c>
      <c r="AK270">
        <v>79</v>
      </c>
      <c r="AL270">
        <v>924</v>
      </c>
      <c r="AM270">
        <v>0</v>
      </c>
      <c r="AN270">
        <v>1</v>
      </c>
      <c r="AO270" s="22">
        <f t="shared" si="71"/>
        <v>0</v>
      </c>
      <c r="AP270" s="22">
        <f t="shared" si="72"/>
        <v>4.3820266346738812</v>
      </c>
      <c r="AQ270" s="22">
        <f t="shared" si="73"/>
        <v>6.8297937375124249</v>
      </c>
      <c r="AR270" s="22">
        <f t="shared" si="74"/>
        <v>0</v>
      </c>
      <c r="AS270" s="22">
        <f t="shared" si="75"/>
        <v>0.69314718055994529</v>
      </c>
    </row>
    <row r="271" spans="1:45" x14ac:dyDescent="0.25">
      <c r="A271" s="1" t="s">
        <v>10</v>
      </c>
      <c r="B271" s="11">
        <v>42557</v>
      </c>
      <c r="C271">
        <v>2198</v>
      </c>
      <c r="D271">
        <v>2016</v>
      </c>
      <c r="E271">
        <v>2002</v>
      </c>
      <c r="F271" s="1">
        <v>57850</v>
      </c>
      <c r="G271" s="44">
        <f t="shared" si="65"/>
        <v>1</v>
      </c>
      <c r="H271" s="6">
        <v>42.55</v>
      </c>
      <c r="I271" s="6">
        <v>-81.464500000000001</v>
      </c>
      <c r="J271">
        <v>42.566916666666664</v>
      </c>
      <c r="K271">
        <v>-81.47208333333333</v>
      </c>
      <c r="L271">
        <v>41.819366666666667</v>
      </c>
      <c r="M271">
        <v>-81.155166666666673</v>
      </c>
      <c r="N271" s="22">
        <f t="shared" si="76"/>
        <v>1.8538623345747719E-2</v>
      </c>
      <c r="O271" s="22">
        <f t="shared" si="77"/>
        <v>0.79341803539425571</v>
      </c>
      <c r="P271" s="22">
        <f t="shared" si="64"/>
        <v>1.8538623345747719E-2</v>
      </c>
      <c r="Q271">
        <v>19.100000000000001</v>
      </c>
      <c r="R271">
        <v>15.51</v>
      </c>
      <c r="S271">
        <v>14.1</v>
      </c>
      <c r="T271" s="1">
        <v>4</v>
      </c>
      <c r="U271" s="1">
        <v>0</v>
      </c>
      <c r="V271">
        <v>2218</v>
      </c>
      <c r="W271" s="24">
        <v>20</v>
      </c>
      <c r="X271" s="24">
        <v>0.92</v>
      </c>
      <c r="Y271">
        <v>189</v>
      </c>
      <c r="Z271" s="28">
        <f t="shared" si="66"/>
        <v>0</v>
      </c>
      <c r="AA271" s="28">
        <f t="shared" si="67"/>
        <v>9.15</v>
      </c>
      <c r="AB271" s="28">
        <f t="shared" si="68"/>
        <v>0.25</v>
      </c>
      <c r="AC271" s="28">
        <f t="shared" si="69"/>
        <v>0</v>
      </c>
      <c r="AD271" s="28">
        <f t="shared" si="70"/>
        <v>0.05</v>
      </c>
      <c r="AE271">
        <f t="shared" si="78"/>
        <v>0</v>
      </c>
      <c r="AF271">
        <f t="shared" si="79"/>
        <v>0.96825396825396826</v>
      </c>
      <c r="AG271">
        <f t="shared" si="80"/>
        <v>2.6455026455026454E-2</v>
      </c>
      <c r="AH271">
        <f t="shared" si="81"/>
        <v>0</v>
      </c>
      <c r="AI271">
        <f t="shared" si="82"/>
        <v>5.2910052910052907E-3</v>
      </c>
      <c r="AJ271">
        <v>0</v>
      </c>
      <c r="AK271">
        <v>183</v>
      </c>
      <c r="AL271">
        <v>5</v>
      </c>
      <c r="AM271">
        <v>0</v>
      </c>
      <c r="AN271">
        <v>1</v>
      </c>
      <c r="AO271" s="22">
        <f t="shared" si="71"/>
        <v>0</v>
      </c>
      <c r="AP271" s="22">
        <f t="shared" si="72"/>
        <v>5.2149357576089859</v>
      </c>
      <c r="AQ271" s="22">
        <f t="shared" si="73"/>
        <v>1.791759469228055</v>
      </c>
      <c r="AR271" s="22">
        <f t="shared" si="74"/>
        <v>0</v>
      </c>
      <c r="AS271" s="22">
        <f t="shared" si="75"/>
        <v>0.69314718055994529</v>
      </c>
    </row>
    <row r="272" spans="1:45" x14ac:dyDescent="0.25">
      <c r="A272" s="1" t="s">
        <v>10</v>
      </c>
      <c r="B272" s="11">
        <v>42557</v>
      </c>
      <c r="C272">
        <v>2198</v>
      </c>
      <c r="D272">
        <v>2016</v>
      </c>
      <c r="E272">
        <v>2003</v>
      </c>
      <c r="F272" s="1">
        <v>57850</v>
      </c>
      <c r="G272" s="44">
        <f t="shared" si="65"/>
        <v>1</v>
      </c>
      <c r="H272" s="13">
        <v>42.476500000000001</v>
      </c>
      <c r="I272" s="6">
        <v>-81.432500000000005</v>
      </c>
      <c r="J272">
        <v>42.566916666666664</v>
      </c>
      <c r="K272">
        <v>-81.47208333333333</v>
      </c>
      <c r="L272">
        <v>41.819366666666667</v>
      </c>
      <c r="M272">
        <v>-81.155166666666673</v>
      </c>
      <c r="N272" s="22">
        <f t="shared" si="76"/>
        <v>9.870164076086857E-2</v>
      </c>
      <c r="O272" s="22">
        <f t="shared" si="77"/>
        <v>0.71325871572351329</v>
      </c>
      <c r="P272" s="22">
        <f t="shared" si="64"/>
        <v>9.870164076086857E-2</v>
      </c>
      <c r="Q272">
        <v>22.1</v>
      </c>
      <c r="R272">
        <v>9.36</v>
      </c>
      <c r="S272">
        <v>19.899999999999999</v>
      </c>
      <c r="T272" s="21">
        <v>16</v>
      </c>
      <c r="U272" s="21">
        <v>1</v>
      </c>
      <c r="V272">
        <v>2343</v>
      </c>
      <c r="W272" s="24">
        <v>20</v>
      </c>
      <c r="X272" s="24">
        <v>1.01</v>
      </c>
      <c r="Y272">
        <v>1045</v>
      </c>
      <c r="Z272" s="28">
        <f t="shared" si="66"/>
        <v>0</v>
      </c>
      <c r="AA272" s="28">
        <f t="shared" si="67"/>
        <v>19.95</v>
      </c>
      <c r="AB272" s="28">
        <f t="shared" si="68"/>
        <v>31.7</v>
      </c>
      <c r="AC272" s="28">
        <f t="shared" si="69"/>
        <v>0</v>
      </c>
      <c r="AD272" s="28">
        <f t="shared" si="70"/>
        <v>0.15</v>
      </c>
      <c r="AE272">
        <f t="shared" si="78"/>
        <v>0</v>
      </c>
      <c r="AF272">
        <f t="shared" si="79"/>
        <v>0.38181818181818183</v>
      </c>
      <c r="AG272">
        <f t="shared" si="80"/>
        <v>0.6066985645933014</v>
      </c>
      <c r="AH272">
        <f t="shared" si="81"/>
        <v>0</v>
      </c>
      <c r="AI272">
        <f t="shared" si="82"/>
        <v>2.8708133971291866E-3</v>
      </c>
      <c r="AJ272">
        <v>0</v>
      </c>
      <c r="AK272">
        <v>399</v>
      </c>
      <c r="AL272">
        <v>634</v>
      </c>
      <c r="AM272">
        <v>0</v>
      </c>
      <c r="AN272">
        <v>3</v>
      </c>
      <c r="AO272" s="22">
        <f t="shared" si="71"/>
        <v>0</v>
      </c>
      <c r="AP272" s="22">
        <f t="shared" si="72"/>
        <v>5.9914645471079817</v>
      </c>
      <c r="AQ272" s="22">
        <f t="shared" si="73"/>
        <v>6.4536249988926917</v>
      </c>
      <c r="AR272" s="22">
        <f t="shared" si="74"/>
        <v>0</v>
      </c>
      <c r="AS272" s="22">
        <f t="shared" si="75"/>
        <v>1.3862943611198906</v>
      </c>
    </row>
    <row r="273" spans="1:45" x14ac:dyDescent="0.25">
      <c r="A273" s="1" t="s">
        <v>10</v>
      </c>
      <c r="B273" s="11">
        <v>42558</v>
      </c>
      <c r="C273">
        <v>2198</v>
      </c>
      <c r="D273">
        <v>2016</v>
      </c>
      <c r="E273">
        <v>2004</v>
      </c>
      <c r="F273" s="1">
        <v>57850</v>
      </c>
      <c r="G273" s="44">
        <f t="shared" si="65"/>
        <v>1</v>
      </c>
      <c r="H273" s="6">
        <v>42.463833333333334</v>
      </c>
      <c r="I273" s="6">
        <v>-81.426333333333332</v>
      </c>
      <c r="J273">
        <v>42.566916666666664</v>
      </c>
      <c r="K273">
        <v>-81.47208333333333</v>
      </c>
      <c r="L273">
        <v>41.819366666666667</v>
      </c>
      <c r="M273">
        <v>-81.155166666666673</v>
      </c>
      <c r="N273" s="22">
        <f t="shared" si="76"/>
        <v>0.11277959084475508</v>
      </c>
      <c r="O273" s="22">
        <f t="shared" si="77"/>
        <v>0.69919142268448253</v>
      </c>
      <c r="P273" s="22">
        <f t="shared" si="64"/>
        <v>0.11277959084475508</v>
      </c>
      <c r="Q273">
        <v>22</v>
      </c>
      <c r="R273">
        <v>11.43</v>
      </c>
      <c r="S273">
        <v>20.5</v>
      </c>
      <c r="T273" s="1">
        <v>13</v>
      </c>
      <c r="U273" s="1">
        <v>0</v>
      </c>
      <c r="V273">
        <v>2418</v>
      </c>
      <c r="W273" s="24">
        <v>20</v>
      </c>
      <c r="X273" s="24">
        <v>0.96</v>
      </c>
      <c r="Y273">
        <v>867</v>
      </c>
      <c r="Z273" s="28">
        <f t="shared" si="66"/>
        <v>0</v>
      </c>
      <c r="AA273" s="28">
        <f t="shared" si="67"/>
        <v>41.1</v>
      </c>
      <c r="AB273" s="28">
        <f t="shared" si="68"/>
        <v>2.2000000000000002</v>
      </c>
      <c r="AC273" s="28">
        <f t="shared" si="69"/>
        <v>0</v>
      </c>
      <c r="AD273" s="28">
        <f t="shared" si="70"/>
        <v>0</v>
      </c>
      <c r="AE273">
        <f t="shared" si="78"/>
        <v>0</v>
      </c>
      <c r="AF273">
        <f t="shared" si="79"/>
        <v>0.94809688581314877</v>
      </c>
      <c r="AG273">
        <f t="shared" si="80"/>
        <v>5.0749711649365627E-2</v>
      </c>
      <c r="AH273">
        <f t="shared" si="81"/>
        <v>0</v>
      </c>
      <c r="AI273">
        <f t="shared" si="82"/>
        <v>0</v>
      </c>
      <c r="AJ273">
        <v>0</v>
      </c>
      <c r="AK273">
        <v>822</v>
      </c>
      <c r="AL273">
        <v>44</v>
      </c>
      <c r="AM273">
        <v>0</v>
      </c>
      <c r="AN273">
        <v>0</v>
      </c>
      <c r="AO273" s="22">
        <f t="shared" si="71"/>
        <v>0</v>
      </c>
      <c r="AP273" s="22">
        <f t="shared" si="72"/>
        <v>6.7129562006770698</v>
      </c>
      <c r="AQ273" s="22">
        <f t="shared" si="73"/>
        <v>3.8066624897703196</v>
      </c>
      <c r="AR273" s="22">
        <f t="shared" si="74"/>
        <v>0</v>
      </c>
      <c r="AS273" s="22">
        <f t="shared" si="75"/>
        <v>0</v>
      </c>
    </row>
    <row r="274" spans="1:45" x14ac:dyDescent="0.25">
      <c r="A274" s="1" t="s">
        <v>10</v>
      </c>
      <c r="B274" s="11">
        <v>42558</v>
      </c>
      <c r="C274">
        <v>2198</v>
      </c>
      <c r="D274">
        <v>2016</v>
      </c>
      <c r="E274">
        <v>2005</v>
      </c>
      <c r="F274" s="1">
        <v>57850</v>
      </c>
      <c r="G274" s="44">
        <f t="shared" si="65"/>
        <v>1</v>
      </c>
      <c r="H274" s="6">
        <v>42.478000000000002</v>
      </c>
      <c r="I274" s="6">
        <v>-81.433666666666667</v>
      </c>
      <c r="J274">
        <v>42.566916666666664</v>
      </c>
      <c r="K274">
        <v>-81.47208333333333</v>
      </c>
      <c r="L274">
        <v>41.819366666666667</v>
      </c>
      <c r="M274">
        <v>-81.155166666666673</v>
      </c>
      <c r="N274" s="22">
        <f t="shared" si="76"/>
        <v>9.6860796449791134E-2</v>
      </c>
      <c r="O274" s="22">
        <f t="shared" si="77"/>
        <v>0.71509448171397305</v>
      </c>
      <c r="P274" s="22">
        <f t="shared" ref="P274:P337" si="83">MIN(O274, N274)</f>
        <v>9.6860796449791134E-2</v>
      </c>
      <c r="Q274">
        <v>22.11</v>
      </c>
      <c r="R274">
        <v>20.39</v>
      </c>
      <c r="S274">
        <v>19.899999999999999</v>
      </c>
      <c r="T274" s="1">
        <v>8</v>
      </c>
      <c r="U274" s="1">
        <v>0</v>
      </c>
      <c r="V274">
        <v>2503</v>
      </c>
      <c r="W274" s="24">
        <v>20</v>
      </c>
      <c r="X274" s="24">
        <v>0.97</v>
      </c>
      <c r="Y274">
        <v>546</v>
      </c>
      <c r="Z274" s="28">
        <f t="shared" si="66"/>
        <v>0</v>
      </c>
      <c r="AA274" s="28">
        <f t="shared" si="67"/>
        <v>26.95</v>
      </c>
      <c r="AB274" s="28">
        <f t="shared" si="68"/>
        <v>0</v>
      </c>
      <c r="AC274" s="28">
        <f t="shared" si="69"/>
        <v>0</v>
      </c>
      <c r="AD274" s="28">
        <f t="shared" si="70"/>
        <v>0.2</v>
      </c>
      <c r="AE274">
        <f t="shared" si="78"/>
        <v>0</v>
      </c>
      <c r="AF274">
        <f t="shared" si="79"/>
        <v>0.98717948717948723</v>
      </c>
      <c r="AG274">
        <f t="shared" si="80"/>
        <v>0</v>
      </c>
      <c r="AH274">
        <f t="shared" si="81"/>
        <v>0</v>
      </c>
      <c r="AI274">
        <f t="shared" si="82"/>
        <v>7.326007326007326E-3</v>
      </c>
      <c r="AJ274">
        <v>0</v>
      </c>
      <c r="AK274">
        <v>539</v>
      </c>
      <c r="AL274">
        <v>0</v>
      </c>
      <c r="AM274">
        <v>0</v>
      </c>
      <c r="AN274">
        <v>4</v>
      </c>
      <c r="AO274" s="22">
        <f t="shared" si="71"/>
        <v>0</v>
      </c>
      <c r="AP274" s="22">
        <f t="shared" si="72"/>
        <v>6.2915691395583204</v>
      </c>
      <c r="AQ274" s="22">
        <f t="shared" si="73"/>
        <v>0</v>
      </c>
      <c r="AR274" s="22">
        <f t="shared" si="74"/>
        <v>0</v>
      </c>
      <c r="AS274" s="22">
        <f t="shared" si="75"/>
        <v>1.6094379124341003</v>
      </c>
    </row>
    <row r="275" spans="1:45" x14ac:dyDescent="0.25">
      <c r="A275" s="1" t="s">
        <v>10</v>
      </c>
      <c r="B275" s="11">
        <v>42558</v>
      </c>
      <c r="C275">
        <v>2198</v>
      </c>
      <c r="D275">
        <v>2016</v>
      </c>
      <c r="E275">
        <v>2006</v>
      </c>
      <c r="F275" s="1">
        <v>57850</v>
      </c>
      <c r="G275" s="44">
        <f t="shared" ref="G275:G338" si="84">IF(F275&lt;57601, 0, 1)</f>
        <v>1</v>
      </c>
      <c r="H275" s="6">
        <v>42.341166666666666</v>
      </c>
      <c r="I275" s="6">
        <v>-81.38033333333334</v>
      </c>
      <c r="J275">
        <v>42.566916666666664</v>
      </c>
      <c r="K275">
        <v>-81.47208333333333</v>
      </c>
      <c r="L275">
        <v>41.819366666666667</v>
      </c>
      <c r="M275">
        <v>-81.155166666666673</v>
      </c>
      <c r="N275" s="22">
        <f t="shared" si="76"/>
        <v>0.24368242653092015</v>
      </c>
      <c r="O275" s="22">
        <f t="shared" si="77"/>
        <v>0.56830913047194354</v>
      </c>
      <c r="P275" s="22">
        <f t="shared" si="83"/>
        <v>0.24368242653092015</v>
      </c>
      <c r="Q275">
        <v>21.73</v>
      </c>
      <c r="R275">
        <v>9.6</v>
      </c>
      <c r="S275">
        <v>22.2</v>
      </c>
      <c r="T275" s="1">
        <v>20</v>
      </c>
      <c r="U275" s="1">
        <v>1</v>
      </c>
      <c r="V275">
        <v>2651</v>
      </c>
      <c r="W275" s="24">
        <v>20</v>
      </c>
      <c r="X275" s="24">
        <v>0.98</v>
      </c>
      <c r="Y275">
        <v>197</v>
      </c>
      <c r="Z275" s="28">
        <f t="shared" ref="Z275:Z338" si="85">AJ275/$W275</f>
        <v>0</v>
      </c>
      <c r="AA275" s="28">
        <f t="shared" ref="AA275:AA338" si="86">AK275/$W275</f>
        <v>7.15</v>
      </c>
      <c r="AB275" s="28">
        <f t="shared" ref="AB275:AB338" si="87">AL275/$W275</f>
        <v>2.7</v>
      </c>
      <c r="AC275" s="28">
        <f t="shared" ref="AC275:AC338" si="88">AM275/$W275</f>
        <v>0</v>
      </c>
      <c r="AD275" s="28">
        <f t="shared" ref="AD275:AD338" si="89">AN275/$W275</f>
        <v>0</v>
      </c>
      <c r="AE275">
        <f t="shared" si="78"/>
        <v>0</v>
      </c>
      <c r="AF275">
        <f t="shared" si="79"/>
        <v>0.7258883248730964</v>
      </c>
      <c r="AG275">
        <f t="shared" si="80"/>
        <v>0.27411167512690354</v>
      </c>
      <c r="AH275">
        <f t="shared" si="81"/>
        <v>0</v>
      </c>
      <c r="AI275">
        <f t="shared" si="82"/>
        <v>0</v>
      </c>
      <c r="AJ275">
        <v>0</v>
      </c>
      <c r="AK275">
        <v>143</v>
      </c>
      <c r="AL275">
        <v>54</v>
      </c>
      <c r="AM275">
        <v>0</v>
      </c>
      <c r="AN275">
        <v>0</v>
      </c>
      <c r="AO275" s="22">
        <f t="shared" ref="AO275:AO338" si="90">LN(AJ275+1)</f>
        <v>0</v>
      </c>
      <c r="AP275" s="22">
        <f t="shared" ref="AP275:AP338" si="91">LN(AK275+1)</f>
        <v>4.9698132995760007</v>
      </c>
      <c r="AQ275" s="22">
        <f t="shared" ref="AQ275:AQ338" si="92">LN(AL275+1)</f>
        <v>4.0073331852324712</v>
      </c>
      <c r="AR275" s="22">
        <f t="shared" ref="AR275:AR338" si="93">LN(AM275+1)</f>
        <v>0</v>
      </c>
      <c r="AS275" s="22">
        <f t="shared" ref="AS275:AS338" si="94">LN(AN275+1)</f>
        <v>0</v>
      </c>
    </row>
    <row r="276" spans="1:45" x14ac:dyDescent="0.25">
      <c r="A276" s="1" t="s">
        <v>10</v>
      </c>
      <c r="B276" s="11">
        <v>42558</v>
      </c>
      <c r="C276">
        <v>2198</v>
      </c>
      <c r="D276">
        <v>2016</v>
      </c>
      <c r="E276">
        <v>2007</v>
      </c>
      <c r="F276" s="1">
        <v>57850</v>
      </c>
      <c r="G276" s="44">
        <f t="shared" si="84"/>
        <v>1</v>
      </c>
      <c r="H276" s="6">
        <v>42.356166666666667</v>
      </c>
      <c r="I276" s="6">
        <v>-81.381666666666661</v>
      </c>
      <c r="J276">
        <v>42.566916666666664</v>
      </c>
      <c r="K276">
        <v>-81.47208333333333</v>
      </c>
      <c r="L276">
        <v>41.819366666666667</v>
      </c>
      <c r="M276">
        <v>-81.155166666666673</v>
      </c>
      <c r="N276" s="22">
        <f t="shared" si="76"/>
        <v>0.22932670169675082</v>
      </c>
      <c r="O276" s="22">
        <f t="shared" si="77"/>
        <v>0.58262894710097757</v>
      </c>
      <c r="P276" s="22">
        <f t="shared" si="83"/>
        <v>0.22932670169675082</v>
      </c>
      <c r="Q276">
        <v>21.72</v>
      </c>
      <c r="R276">
        <v>9.2200000000000006</v>
      </c>
      <c r="S276">
        <v>22.1</v>
      </c>
      <c r="T276" s="1">
        <v>17</v>
      </c>
      <c r="U276" s="1">
        <v>1</v>
      </c>
      <c r="V276">
        <v>2727</v>
      </c>
      <c r="W276" s="24">
        <v>20</v>
      </c>
      <c r="X276" s="24">
        <v>0.96</v>
      </c>
      <c r="Y276">
        <v>140</v>
      </c>
      <c r="Z276" s="28">
        <f t="shared" si="85"/>
        <v>0</v>
      </c>
      <c r="AA276" s="28">
        <f t="shared" si="86"/>
        <v>6.35</v>
      </c>
      <c r="AB276" s="28">
        <f t="shared" si="87"/>
        <v>0.6</v>
      </c>
      <c r="AC276" s="28">
        <f t="shared" si="88"/>
        <v>0</v>
      </c>
      <c r="AD276" s="28">
        <f t="shared" si="89"/>
        <v>0</v>
      </c>
      <c r="AE276">
        <f t="shared" si="78"/>
        <v>0</v>
      </c>
      <c r="AF276">
        <f t="shared" si="79"/>
        <v>0.90714285714285714</v>
      </c>
      <c r="AG276">
        <f t="shared" si="80"/>
        <v>8.5714285714285715E-2</v>
      </c>
      <c r="AH276">
        <f t="shared" si="81"/>
        <v>0</v>
      </c>
      <c r="AI276">
        <f t="shared" si="82"/>
        <v>0</v>
      </c>
      <c r="AJ276">
        <v>0</v>
      </c>
      <c r="AK276">
        <v>127</v>
      </c>
      <c r="AL276">
        <v>12</v>
      </c>
      <c r="AM276">
        <v>0</v>
      </c>
      <c r="AN276">
        <v>0</v>
      </c>
      <c r="AO276" s="22">
        <f t="shared" si="90"/>
        <v>0</v>
      </c>
      <c r="AP276" s="22">
        <f t="shared" si="91"/>
        <v>4.8520302639196169</v>
      </c>
      <c r="AQ276" s="22">
        <f t="shared" si="92"/>
        <v>2.5649493574615367</v>
      </c>
      <c r="AR276" s="22">
        <f t="shared" si="93"/>
        <v>0</v>
      </c>
      <c r="AS276" s="22">
        <f t="shared" si="94"/>
        <v>0</v>
      </c>
    </row>
    <row r="277" spans="1:45" x14ac:dyDescent="0.25">
      <c r="A277" s="1" t="s">
        <v>10</v>
      </c>
      <c r="B277" s="11">
        <v>42558</v>
      </c>
      <c r="C277">
        <v>2198</v>
      </c>
      <c r="D277">
        <v>2016</v>
      </c>
      <c r="E277">
        <v>2008</v>
      </c>
      <c r="F277" s="1">
        <v>57850</v>
      </c>
      <c r="G277" s="44">
        <f t="shared" si="84"/>
        <v>1</v>
      </c>
      <c r="H277" s="6">
        <v>42.344499999999996</v>
      </c>
      <c r="I277" s="6">
        <v>-81.37733333333334</v>
      </c>
      <c r="J277">
        <v>42.566916666666664</v>
      </c>
      <c r="K277">
        <v>-81.47208333333333</v>
      </c>
      <c r="L277">
        <v>41.819366666666667</v>
      </c>
      <c r="M277">
        <v>-81.155166666666673</v>
      </c>
      <c r="N277" s="22">
        <f t="shared" si="76"/>
        <v>0.24175759783533118</v>
      </c>
      <c r="O277" s="22">
        <f t="shared" si="77"/>
        <v>0.5701956204282449</v>
      </c>
      <c r="P277" s="22">
        <f t="shared" si="83"/>
        <v>0.24175759783533118</v>
      </c>
      <c r="Q277">
        <v>21.73</v>
      </c>
      <c r="R277">
        <v>19.75</v>
      </c>
      <c r="S277">
        <v>22.2</v>
      </c>
      <c r="T277" s="1">
        <v>13</v>
      </c>
      <c r="U277" s="1">
        <v>0</v>
      </c>
      <c r="V277">
        <v>2805</v>
      </c>
      <c r="W277" s="24">
        <v>20</v>
      </c>
      <c r="X277" s="24">
        <v>0.96</v>
      </c>
      <c r="Y277">
        <v>842</v>
      </c>
      <c r="Z277" s="28">
        <f t="shared" si="85"/>
        <v>0</v>
      </c>
      <c r="AA277" s="28">
        <f t="shared" si="86"/>
        <v>41.95</v>
      </c>
      <c r="AB277" s="28">
        <f t="shared" si="87"/>
        <v>0</v>
      </c>
      <c r="AC277" s="28">
        <f t="shared" si="88"/>
        <v>0</v>
      </c>
      <c r="AD277" s="28">
        <f t="shared" si="89"/>
        <v>0.15</v>
      </c>
      <c r="AE277">
        <f t="shared" si="78"/>
        <v>0</v>
      </c>
      <c r="AF277">
        <f t="shared" si="79"/>
        <v>0.99643705463182897</v>
      </c>
      <c r="AG277">
        <f t="shared" si="80"/>
        <v>0</v>
      </c>
      <c r="AH277">
        <f t="shared" si="81"/>
        <v>0</v>
      </c>
      <c r="AI277">
        <f t="shared" si="82"/>
        <v>3.5629453681710215E-3</v>
      </c>
      <c r="AJ277">
        <v>0</v>
      </c>
      <c r="AK277">
        <v>839</v>
      </c>
      <c r="AL277">
        <v>0</v>
      </c>
      <c r="AM277">
        <v>0</v>
      </c>
      <c r="AN277">
        <v>3</v>
      </c>
      <c r="AO277" s="22">
        <f t="shared" si="90"/>
        <v>0</v>
      </c>
      <c r="AP277" s="22">
        <f t="shared" si="91"/>
        <v>6.7334018918373593</v>
      </c>
      <c r="AQ277" s="22">
        <f t="shared" si="92"/>
        <v>0</v>
      </c>
      <c r="AR277" s="22">
        <f t="shared" si="93"/>
        <v>0</v>
      </c>
      <c r="AS277" s="22">
        <f t="shared" si="94"/>
        <v>1.3862943611198906</v>
      </c>
    </row>
    <row r="278" spans="1:45" x14ac:dyDescent="0.25">
      <c r="A278" s="1" t="s">
        <v>10</v>
      </c>
      <c r="B278" s="11">
        <v>42558</v>
      </c>
      <c r="C278">
        <v>2198</v>
      </c>
      <c r="D278">
        <v>2016</v>
      </c>
      <c r="E278">
        <v>2009</v>
      </c>
      <c r="F278" s="1">
        <v>57850</v>
      </c>
      <c r="G278" s="44">
        <f t="shared" si="84"/>
        <v>1</v>
      </c>
      <c r="H278" s="6">
        <v>42.359833333333334</v>
      </c>
      <c r="I278" s="6">
        <v>-81.385333333333335</v>
      </c>
      <c r="J278">
        <v>42.566916666666664</v>
      </c>
      <c r="K278">
        <v>-81.47208333333333</v>
      </c>
      <c r="L278">
        <v>41.819366666666667</v>
      </c>
      <c r="M278">
        <v>-81.155166666666673</v>
      </c>
      <c r="N278" s="22">
        <f t="shared" si="76"/>
        <v>0.22451964155601639</v>
      </c>
      <c r="O278" s="22">
        <f t="shared" si="77"/>
        <v>0.58743587924319063</v>
      </c>
      <c r="P278" s="22">
        <f t="shared" si="83"/>
        <v>0.22451964155601639</v>
      </c>
      <c r="Q278">
        <v>21.69</v>
      </c>
      <c r="R278">
        <v>19.88</v>
      </c>
      <c r="S278">
        <v>22.1</v>
      </c>
      <c r="T278" s="1">
        <v>10</v>
      </c>
      <c r="U278" s="1">
        <v>0</v>
      </c>
      <c r="V278">
        <v>2844</v>
      </c>
      <c r="W278" s="24">
        <v>20</v>
      </c>
      <c r="X278" s="24">
        <v>1</v>
      </c>
      <c r="Y278">
        <v>889</v>
      </c>
      <c r="Z278" s="28">
        <f t="shared" si="85"/>
        <v>0</v>
      </c>
      <c r="AA278" s="28">
        <f t="shared" si="86"/>
        <v>44.4</v>
      </c>
      <c r="AB278" s="28">
        <f t="shared" si="87"/>
        <v>0</v>
      </c>
      <c r="AC278" s="28">
        <f t="shared" si="88"/>
        <v>0</v>
      </c>
      <c r="AD278" s="28">
        <f t="shared" si="89"/>
        <v>0.05</v>
      </c>
      <c r="AE278">
        <f t="shared" si="78"/>
        <v>0</v>
      </c>
      <c r="AF278">
        <f t="shared" si="79"/>
        <v>0.99887514060742411</v>
      </c>
      <c r="AG278">
        <f t="shared" si="80"/>
        <v>0</v>
      </c>
      <c r="AH278">
        <f t="shared" si="81"/>
        <v>0</v>
      </c>
      <c r="AI278">
        <f t="shared" si="82"/>
        <v>1.1248593925759281E-3</v>
      </c>
      <c r="AJ278">
        <v>0</v>
      </c>
      <c r="AK278">
        <v>888</v>
      </c>
      <c r="AL278">
        <v>0</v>
      </c>
      <c r="AM278">
        <v>0</v>
      </c>
      <c r="AN278">
        <v>1</v>
      </c>
      <c r="AO278" s="22">
        <f t="shared" si="90"/>
        <v>0</v>
      </c>
      <c r="AP278" s="22">
        <f t="shared" si="91"/>
        <v>6.7900972355139046</v>
      </c>
      <c r="AQ278" s="22">
        <f t="shared" si="92"/>
        <v>0</v>
      </c>
      <c r="AR278" s="22">
        <f t="shared" si="93"/>
        <v>0</v>
      </c>
      <c r="AS278" s="22">
        <f t="shared" si="94"/>
        <v>0.69314718055994529</v>
      </c>
    </row>
    <row r="279" spans="1:45" x14ac:dyDescent="0.25">
      <c r="A279" s="1" t="s">
        <v>10</v>
      </c>
      <c r="B279" s="11">
        <v>42558</v>
      </c>
      <c r="C279">
        <v>2198</v>
      </c>
      <c r="D279">
        <v>2016</v>
      </c>
      <c r="E279">
        <v>3001</v>
      </c>
      <c r="F279" s="1">
        <v>57600</v>
      </c>
      <c r="G279" s="44">
        <f t="shared" si="84"/>
        <v>0</v>
      </c>
      <c r="H279" s="6">
        <v>42.084833333333336</v>
      </c>
      <c r="I279" s="6">
        <v>-81.754666666666665</v>
      </c>
      <c r="J279">
        <v>42.261233333333337</v>
      </c>
      <c r="K279">
        <v>-81.829883333333328</v>
      </c>
      <c r="L279">
        <v>41.621000000000002</v>
      </c>
      <c r="M279">
        <v>-81.539483333333337</v>
      </c>
      <c r="N279" s="22">
        <f t="shared" si="76"/>
        <v>0.19176680355172052</v>
      </c>
      <c r="O279" s="22">
        <f t="shared" si="77"/>
        <v>0.5113171501676369</v>
      </c>
      <c r="P279" s="22">
        <f t="shared" si="83"/>
        <v>0.19176680355172052</v>
      </c>
      <c r="Q279">
        <v>23.83</v>
      </c>
      <c r="R279">
        <v>16.52</v>
      </c>
      <c r="S279">
        <v>23</v>
      </c>
      <c r="T279" s="1">
        <v>20</v>
      </c>
      <c r="U279" s="1">
        <v>1</v>
      </c>
      <c r="V279">
        <v>2150</v>
      </c>
      <c r="W279" s="24">
        <v>20</v>
      </c>
      <c r="X279" s="24">
        <v>1.03</v>
      </c>
      <c r="Y279">
        <v>211</v>
      </c>
      <c r="Z279" s="28">
        <f t="shared" si="85"/>
        <v>0</v>
      </c>
      <c r="AA279" s="28">
        <f t="shared" si="86"/>
        <v>0.4</v>
      </c>
      <c r="AB279" s="28">
        <f t="shared" si="87"/>
        <v>9.9499999999999993</v>
      </c>
      <c r="AC279" s="28">
        <f t="shared" si="88"/>
        <v>0</v>
      </c>
      <c r="AD279" s="28">
        <f t="shared" si="89"/>
        <v>0.05</v>
      </c>
      <c r="AE279">
        <f t="shared" si="78"/>
        <v>0</v>
      </c>
      <c r="AF279">
        <f t="shared" si="79"/>
        <v>3.7914691943127965E-2</v>
      </c>
      <c r="AG279">
        <f t="shared" si="80"/>
        <v>0.94312796208530802</v>
      </c>
      <c r="AH279">
        <f t="shared" si="81"/>
        <v>0</v>
      </c>
      <c r="AI279">
        <f t="shared" si="82"/>
        <v>4.7393364928909956E-3</v>
      </c>
      <c r="AJ279">
        <v>0</v>
      </c>
      <c r="AK279">
        <v>8</v>
      </c>
      <c r="AL279">
        <v>199</v>
      </c>
      <c r="AM279">
        <v>0</v>
      </c>
      <c r="AN279">
        <v>1</v>
      </c>
      <c r="AO279" s="22">
        <f t="shared" si="90"/>
        <v>0</v>
      </c>
      <c r="AP279" s="22">
        <f t="shared" si="91"/>
        <v>2.1972245773362196</v>
      </c>
      <c r="AQ279" s="22">
        <f t="shared" si="92"/>
        <v>5.2983173665480363</v>
      </c>
      <c r="AR279" s="22">
        <f t="shared" si="93"/>
        <v>0</v>
      </c>
      <c r="AS279" s="22">
        <f t="shared" si="94"/>
        <v>0.69314718055994529</v>
      </c>
    </row>
    <row r="280" spans="1:45" x14ac:dyDescent="0.25">
      <c r="A280" s="1" t="s">
        <v>10</v>
      </c>
      <c r="B280" s="11">
        <v>42558</v>
      </c>
      <c r="C280">
        <v>2198</v>
      </c>
      <c r="D280">
        <v>2016</v>
      </c>
      <c r="E280">
        <v>3002</v>
      </c>
      <c r="F280" s="1">
        <v>57600</v>
      </c>
      <c r="G280" s="44">
        <f t="shared" si="84"/>
        <v>0</v>
      </c>
      <c r="H280" s="6">
        <v>42.096833333333336</v>
      </c>
      <c r="I280" s="6">
        <v>-81.764833333333328</v>
      </c>
      <c r="J280">
        <v>42.261233333333337</v>
      </c>
      <c r="K280">
        <v>-81.829883333333328</v>
      </c>
      <c r="L280">
        <v>41.621000000000002</v>
      </c>
      <c r="M280">
        <v>-81.539483333333337</v>
      </c>
      <c r="N280" s="22">
        <f t="shared" si="76"/>
        <v>0.17680176045503648</v>
      </c>
      <c r="O280" s="22">
        <f t="shared" si="77"/>
        <v>0.52649784767946395</v>
      </c>
      <c r="P280" s="22">
        <f t="shared" si="83"/>
        <v>0.17680176045503648</v>
      </c>
      <c r="Q280">
        <v>23.7</v>
      </c>
      <c r="R280">
        <v>9.2899999999999991</v>
      </c>
      <c r="S280">
        <v>23.6</v>
      </c>
      <c r="T280" s="1">
        <v>17</v>
      </c>
      <c r="U280" s="1">
        <v>1</v>
      </c>
      <c r="V280">
        <v>2228</v>
      </c>
      <c r="W280" s="24">
        <v>20</v>
      </c>
      <c r="X280" s="24">
        <v>0.96</v>
      </c>
      <c r="Y280">
        <v>187</v>
      </c>
      <c r="Z280" s="28">
        <f t="shared" si="85"/>
        <v>0.05</v>
      </c>
      <c r="AA280" s="28">
        <f t="shared" si="86"/>
        <v>7.95</v>
      </c>
      <c r="AB280" s="28">
        <f t="shared" si="87"/>
        <v>0.3</v>
      </c>
      <c r="AC280" s="28">
        <f t="shared" si="88"/>
        <v>0</v>
      </c>
      <c r="AD280" s="28">
        <f t="shared" si="89"/>
        <v>0.6</v>
      </c>
      <c r="AE280">
        <f t="shared" si="78"/>
        <v>5.3475935828877002E-3</v>
      </c>
      <c r="AF280">
        <f t="shared" si="79"/>
        <v>0.85026737967914434</v>
      </c>
      <c r="AG280">
        <f t="shared" si="80"/>
        <v>3.2085561497326207E-2</v>
      </c>
      <c r="AH280">
        <f t="shared" si="81"/>
        <v>0</v>
      </c>
      <c r="AI280">
        <f t="shared" si="82"/>
        <v>6.4171122994652413E-2</v>
      </c>
      <c r="AJ280">
        <v>1</v>
      </c>
      <c r="AK280">
        <v>159</v>
      </c>
      <c r="AL280">
        <v>6</v>
      </c>
      <c r="AM280">
        <v>0</v>
      </c>
      <c r="AN280">
        <v>12</v>
      </c>
      <c r="AO280" s="22">
        <f t="shared" si="90"/>
        <v>0.69314718055994529</v>
      </c>
      <c r="AP280" s="22">
        <f t="shared" si="91"/>
        <v>5.0751738152338266</v>
      </c>
      <c r="AQ280" s="22">
        <f t="shared" si="92"/>
        <v>1.9459101490553132</v>
      </c>
      <c r="AR280" s="22">
        <f t="shared" si="93"/>
        <v>0</v>
      </c>
      <c r="AS280" s="22">
        <f t="shared" si="94"/>
        <v>2.5649493574615367</v>
      </c>
    </row>
    <row r="281" spans="1:45" x14ac:dyDescent="0.25">
      <c r="A281" s="1" t="s">
        <v>10</v>
      </c>
      <c r="B281" s="11">
        <v>42558</v>
      </c>
      <c r="C281">
        <v>2198</v>
      </c>
      <c r="D281">
        <v>2016</v>
      </c>
      <c r="E281">
        <v>3003</v>
      </c>
      <c r="F281" s="1">
        <v>57600</v>
      </c>
      <c r="G281" s="44">
        <f t="shared" si="84"/>
        <v>0</v>
      </c>
      <c r="H281" s="6">
        <v>42.077666666666666</v>
      </c>
      <c r="I281" s="6">
        <v>-81.74633333333334</v>
      </c>
      <c r="J281">
        <v>42.261233333333337</v>
      </c>
      <c r="K281">
        <v>-81.829883333333328</v>
      </c>
      <c r="L281">
        <v>41.621000000000002</v>
      </c>
      <c r="M281">
        <v>-81.539483333333337</v>
      </c>
      <c r="N281" s="22">
        <f t="shared" ref="N281:N344" si="95">SQRT(((I281-K281)^2)+((H281-J281)^2))</f>
        <v>0.20168620084455649</v>
      </c>
      <c r="O281" s="22">
        <f t="shared" ref="O281:O344" si="96">SQRT(((I281-M281)^2)+((H281-L281)^2))</f>
        <v>0.50132959911064767</v>
      </c>
      <c r="P281" s="22">
        <f t="shared" si="83"/>
        <v>0.20168620084455649</v>
      </c>
      <c r="Q281">
        <v>23.3</v>
      </c>
      <c r="R281">
        <v>20.32</v>
      </c>
      <c r="S281">
        <v>23.9</v>
      </c>
      <c r="T281" s="1">
        <v>13</v>
      </c>
      <c r="U281" s="1">
        <v>0</v>
      </c>
      <c r="V281">
        <v>2315</v>
      </c>
      <c r="W281" s="24">
        <v>20</v>
      </c>
      <c r="X281" s="24">
        <v>1</v>
      </c>
      <c r="Y281">
        <v>122</v>
      </c>
      <c r="Z281" s="28">
        <f t="shared" si="85"/>
        <v>0</v>
      </c>
      <c r="AA281" s="28">
        <f t="shared" si="86"/>
        <v>5.65</v>
      </c>
      <c r="AB281" s="28">
        <f t="shared" si="87"/>
        <v>0</v>
      </c>
      <c r="AC281" s="28">
        <f t="shared" si="88"/>
        <v>0</v>
      </c>
      <c r="AD281" s="28">
        <f t="shared" si="89"/>
        <v>0.35</v>
      </c>
      <c r="AE281">
        <f t="shared" si="78"/>
        <v>0</v>
      </c>
      <c r="AF281">
        <f t="shared" si="79"/>
        <v>0.92622950819672134</v>
      </c>
      <c r="AG281">
        <f t="shared" si="80"/>
        <v>0</v>
      </c>
      <c r="AH281">
        <f t="shared" si="81"/>
        <v>0</v>
      </c>
      <c r="AI281">
        <f t="shared" si="82"/>
        <v>5.737704918032787E-2</v>
      </c>
      <c r="AJ281">
        <v>0</v>
      </c>
      <c r="AK281">
        <v>113</v>
      </c>
      <c r="AL281">
        <v>0</v>
      </c>
      <c r="AM281">
        <v>0</v>
      </c>
      <c r="AN281">
        <v>7</v>
      </c>
      <c r="AO281" s="22">
        <f t="shared" si="90"/>
        <v>0</v>
      </c>
      <c r="AP281" s="22">
        <f t="shared" si="91"/>
        <v>4.7361984483944957</v>
      </c>
      <c r="AQ281" s="22">
        <f t="shared" si="92"/>
        <v>0</v>
      </c>
      <c r="AR281" s="22">
        <f t="shared" si="93"/>
        <v>0</v>
      </c>
      <c r="AS281" s="22">
        <f t="shared" si="94"/>
        <v>2.0794415416798357</v>
      </c>
    </row>
    <row r="282" spans="1:45" x14ac:dyDescent="0.25">
      <c r="A282" s="1" t="s">
        <v>10</v>
      </c>
      <c r="B282" s="11">
        <v>42559</v>
      </c>
      <c r="C282">
        <v>2198</v>
      </c>
      <c r="D282">
        <v>2016</v>
      </c>
      <c r="E282">
        <v>3004</v>
      </c>
      <c r="F282" s="1">
        <v>57600</v>
      </c>
      <c r="G282" s="44">
        <f t="shared" si="84"/>
        <v>0</v>
      </c>
      <c r="H282" s="6">
        <v>42.069499999999998</v>
      </c>
      <c r="I282" s="6">
        <v>-81.740499999999997</v>
      </c>
      <c r="J282">
        <v>42.261233333333337</v>
      </c>
      <c r="K282">
        <v>-81.829883333333328</v>
      </c>
      <c r="L282">
        <v>41.621000000000002</v>
      </c>
      <c r="M282">
        <v>-81.539483333333337</v>
      </c>
      <c r="N282" s="22">
        <f t="shared" si="95"/>
        <v>0.21154444305840439</v>
      </c>
      <c r="O282" s="22">
        <f t="shared" si="96"/>
        <v>0.49148748740712767</v>
      </c>
      <c r="P282" s="22">
        <f t="shared" si="83"/>
        <v>0.21154444305840439</v>
      </c>
      <c r="Q282">
        <v>23.8</v>
      </c>
      <c r="R282">
        <v>21.24</v>
      </c>
      <c r="S282">
        <v>24</v>
      </c>
      <c r="T282" s="1">
        <v>7</v>
      </c>
      <c r="U282" s="1">
        <v>0</v>
      </c>
      <c r="V282">
        <v>2406</v>
      </c>
      <c r="W282" s="24">
        <v>20</v>
      </c>
      <c r="X282" s="24">
        <v>0.96</v>
      </c>
      <c r="Y282">
        <v>27</v>
      </c>
      <c r="Z282" s="28">
        <f t="shared" si="85"/>
        <v>0</v>
      </c>
      <c r="AA282" s="28">
        <f t="shared" si="86"/>
        <v>0.55000000000000004</v>
      </c>
      <c r="AB282" s="28">
        <f t="shared" si="87"/>
        <v>0</v>
      </c>
      <c r="AC282" s="28">
        <f t="shared" si="88"/>
        <v>0</v>
      </c>
      <c r="AD282" s="28">
        <f t="shared" si="89"/>
        <v>0.6</v>
      </c>
      <c r="AE282">
        <f t="shared" si="78"/>
        <v>0</v>
      </c>
      <c r="AF282">
        <f t="shared" si="79"/>
        <v>0.40740740740740738</v>
      </c>
      <c r="AG282">
        <f t="shared" si="80"/>
        <v>0</v>
      </c>
      <c r="AH282">
        <f t="shared" si="81"/>
        <v>0</v>
      </c>
      <c r="AI282">
        <f t="shared" si="82"/>
        <v>0.44444444444444442</v>
      </c>
      <c r="AJ282">
        <v>0</v>
      </c>
      <c r="AK282">
        <v>11</v>
      </c>
      <c r="AL282">
        <v>0</v>
      </c>
      <c r="AM282">
        <v>0</v>
      </c>
      <c r="AN282">
        <v>12</v>
      </c>
      <c r="AO282" s="22">
        <f t="shared" si="90"/>
        <v>0</v>
      </c>
      <c r="AP282" s="22">
        <f t="shared" si="91"/>
        <v>2.4849066497880004</v>
      </c>
      <c r="AQ282" s="22">
        <f t="shared" si="92"/>
        <v>0</v>
      </c>
      <c r="AR282" s="22">
        <f t="shared" si="93"/>
        <v>0</v>
      </c>
      <c r="AS282" s="22">
        <f t="shared" si="94"/>
        <v>2.5649493574615367</v>
      </c>
    </row>
    <row r="283" spans="1:45" x14ac:dyDescent="0.25">
      <c r="A283" s="1" t="s">
        <v>10</v>
      </c>
      <c r="B283" s="11">
        <v>42559</v>
      </c>
      <c r="C283">
        <v>2198</v>
      </c>
      <c r="D283">
        <v>2016</v>
      </c>
      <c r="E283">
        <v>3005</v>
      </c>
      <c r="F283" s="1">
        <v>57600</v>
      </c>
      <c r="G283" s="44">
        <f t="shared" si="84"/>
        <v>0</v>
      </c>
      <c r="H283" s="6">
        <v>42.209333333333333</v>
      </c>
      <c r="I283" s="6">
        <v>-81.805666666666667</v>
      </c>
      <c r="J283">
        <v>42.261233333333337</v>
      </c>
      <c r="K283">
        <v>-81.829883333333328</v>
      </c>
      <c r="L283">
        <v>41.621000000000002</v>
      </c>
      <c r="M283">
        <v>-81.539483333333337</v>
      </c>
      <c r="N283" s="22">
        <f t="shared" si="95"/>
        <v>5.7271781397512857E-2</v>
      </c>
      <c r="O283" s="22">
        <f t="shared" si="96"/>
        <v>0.64574737944148985</v>
      </c>
      <c r="P283" s="22">
        <f t="shared" si="83"/>
        <v>5.7271781397512857E-2</v>
      </c>
      <c r="Q283">
        <v>23.6</v>
      </c>
      <c r="R283">
        <v>10.39</v>
      </c>
      <c r="S283">
        <v>20.3</v>
      </c>
      <c r="T283" s="1">
        <v>15</v>
      </c>
      <c r="U283" s="1">
        <v>0</v>
      </c>
      <c r="V283">
        <v>2606</v>
      </c>
      <c r="W283" s="24">
        <v>20</v>
      </c>
      <c r="X283" s="24">
        <v>1.01</v>
      </c>
      <c r="Y283">
        <v>17742</v>
      </c>
      <c r="Z283" s="28">
        <f t="shared" si="85"/>
        <v>0</v>
      </c>
      <c r="AA283" s="28">
        <f t="shared" si="86"/>
        <v>0</v>
      </c>
      <c r="AB283" s="28">
        <f t="shared" si="87"/>
        <v>887</v>
      </c>
      <c r="AC283" s="28">
        <f t="shared" si="88"/>
        <v>0</v>
      </c>
      <c r="AD283" s="28">
        <f t="shared" si="89"/>
        <v>0</v>
      </c>
      <c r="AE283">
        <f t="shared" si="78"/>
        <v>0</v>
      </c>
      <c r="AF283">
        <f t="shared" si="79"/>
        <v>0</v>
      </c>
      <c r="AG283">
        <f t="shared" si="80"/>
        <v>0.99988727313718861</v>
      </c>
      <c r="AH283">
        <f t="shared" si="81"/>
        <v>0</v>
      </c>
      <c r="AI283">
        <f t="shared" si="82"/>
        <v>0</v>
      </c>
      <c r="AJ283">
        <v>0</v>
      </c>
      <c r="AK283">
        <v>0</v>
      </c>
      <c r="AL283">
        <v>17740</v>
      </c>
      <c r="AM283">
        <v>0</v>
      </c>
      <c r="AN283">
        <v>0</v>
      </c>
      <c r="AO283" s="22">
        <f t="shared" si="90"/>
        <v>0</v>
      </c>
      <c r="AP283" s="22">
        <f t="shared" si="91"/>
        <v>0</v>
      </c>
      <c r="AQ283" s="22">
        <f t="shared" si="92"/>
        <v>9.7836336240606485</v>
      </c>
      <c r="AR283" s="22">
        <f t="shared" si="93"/>
        <v>0</v>
      </c>
      <c r="AS283" s="22">
        <f t="shared" si="94"/>
        <v>0</v>
      </c>
    </row>
    <row r="284" spans="1:45" x14ac:dyDescent="0.25">
      <c r="A284" s="1" t="s">
        <v>10</v>
      </c>
      <c r="B284" s="11">
        <v>42559</v>
      </c>
      <c r="C284">
        <v>2198</v>
      </c>
      <c r="D284">
        <v>2016</v>
      </c>
      <c r="E284">
        <v>4001</v>
      </c>
      <c r="F284" s="1">
        <v>57350</v>
      </c>
      <c r="G284" s="44">
        <f t="shared" si="84"/>
        <v>0</v>
      </c>
      <c r="H284" s="13">
        <v>42.140833333333333</v>
      </c>
      <c r="I284" s="6">
        <v>-82.258166666666668</v>
      </c>
      <c r="J284">
        <v>42.1434</v>
      </c>
      <c r="K284">
        <v>-82.285266666666672</v>
      </c>
      <c r="L284">
        <v>41.52558333333333</v>
      </c>
      <c r="M284">
        <v>-81.97645</v>
      </c>
      <c r="N284" s="22">
        <f t="shared" si="95"/>
        <v>2.7221274359919539E-2</v>
      </c>
      <c r="O284" s="22">
        <f t="shared" si="96"/>
        <v>0.67668075395845451</v>
      </c>
      <c r="P284" s="22">
        <f t="shared" si="83"/>
        <v>2.7221274359919539E-2</v>
      </c>
      <c r="Q284">
        <v>23.5</v>
      </c>
      <c r="R284">
        <v>12.83</v>
      </c>
      <c r="S284">
        <v>14</v>
      </c>
      <c r="T284" s="21">
        <v>10</v>
      </c>
      <c r="U284" s="21">
        <v>0</v>
      </c>
      <c r="V284">
        <v>2200</v>
      </c>
      <c r="W284" s="24">
        <v>20</v>
      </c>
      <c r="X284" s="24">
        <v>0.97</v>
      </c>
      <c r="Y284">
        <v>160</v>
      </c>
      <c r="Z284" s="28">
        <f t="shared" si="85"/>
        <v>0.05</v>
      </c>
      <c r="AA284" s="28">
        <f t="shared" si="86"/>
        <v>2.4500000000000002</v>
      </c>
      <c r="AB284" s="28">
        <f t="shared" si="87"/>
        <v>0.1</v>
      </c>
      <c r="AC284" s="28">
        <f t="shared" si="88"/>
        <v>0</v>
      </c>
      <c r="AD284" s="28">
        <f t="shared" si="89"/>
        <v>0.65</v>
      </c>
      <c r="AE284">
        <f t="shared" si="78"/>
        <v>6.2500000000000003E-3</v>
      </c>
      <c r="AF284">
        <f t="shared" si="79"/>
        <v>0.30625000000000002</v>
      </c>
      <c r="AG284">
        <f t="shared" si="80"/>
        <v>1.2500000000000001E-2</v>
      </c>
      <c r="AH284">
        <f t="shared" si="81"/>
        <v>0</v>
      </c>
      <c r="AI284">
        <f t="shared" si="82"/>
        <v>8.1250000000000003E-2</v>
      </c>
      <c r="AJ284">
        <v>1</v>
      </c>
      <c r="AK284">
        <v>49</v>
      </c>
      <c r="AL284">
        <v>2</v>
      </c>
      <c r="AM284">
        <v>0</v>
      </c>
      <c r="AN284">
        <v>13</v>
      </c>
      <c r="AO284" s="22">
        <f t="shared" si="90"/>
        <v>0.69314718055994529</v>
      </c>
      <c r="AP284" s="22">
        <f t="shared" si="91"/>
        <v>3.912023005428146</v>
      </c>
      <c r="AQ284" s="22">
        <f t="shared" si="92"/>
        <v>1.0986122886681098</v>
      </c>
      <c r="AR284" s="22">
        <f t="shared" si="93"/>
        <v>0</v>
      </c>
      <c r="AS284" s="22">
        <f t="shared" si="94"/>
        <v>2.6390573296152584</v>
      </c>
    </row>
    <row r="285" spans="1:45" x14ac:dyDescent="0.25">
      <c r="A285" s="1" t="s">
        <v>10</v>
      </c>
      <c r="B285" s="11">
        <v>42559</v>
      </c>
      <c r="C285">
        <v>2198</v>
      </c>
      <c r="D285">
        <v>2016</v>
      </c>
      <c r="E285">
        <v>4002</v>
      </c>
      <c r="F285" s="1">
        <v>57350</v>
      </c>
      <c r="G285" s="44">
        <f t="shared" si="84"/>
        <v>0</v>
      </c>
      <c r="H285" s="6">
        <v>42.125999999999998</v>
      </c>
      <c r="I285" s="6">
        <v>-82.24966666666667</v>
      </c>
      <c r="J285">
        <v>42.1434</v>
      </c>
      <c r="K285">
        <v>-82.285266666666672</v>
      </c>
      <c r="L285">
        <v>41.52558333333333</v>
      </c>
      <c r="M285">
        <v>-81.97645</v>
      </c>
      <c r="N285" s="22">
        <f t="shared" si="95"/>
        <v>3.9624739746782385E-2</v>
      </c>
      <c r="O285" s="22">
        <f t="shared" si="96"/>
        <v>0.65965712347821925</v>
      </c>
      <c r="P285" s="22">
        <f t="shared" si="83"/>
        <v>3.9624739746782385E-2</v>
      </c>
      <c r="Q285">
        <v>23.4</v>
      </c>
      <c r="R285">
        <v>22.44</v>
      </c>
      <c r="S285">
        <v>17.2</v>
      </c>
      <c r="T285" s="1">
        <v>7</v>
      </c>
      <c r="U285" s="1">
        <v>0</v>
      </c>
      <c r="V285">
        <v>2235</v>
      </c>
      <c r="W285" s="24">
        <v>20</v>
      </c>
      <c r="X285" s="24">
        <v>0.99</v>
      </c>
      <c r="Y285">
        <v>401</v>
      </c>
      <c r="Z285" s="28">
        <f t="shared" si="85"/>
        <v>1.6</v>
      </c>
      <c r="AA285" s="28">
        <f t="shared" si="86"/>
        <v>3.1</v>
      </c>
      <c r="AB285" s="28">
        <f t="shared" si="87"/>
        <v>0</v>
      </c>
      <c r="AC285" s="28">
        <f t="shared" si="88"/>
        <v>0.05</v>
      </c>
      <c r="AD285" s="28">
        <f t="shared" si="89"/>
        <v>0</v>
      </c>
      <c r="AE285">
        <f t="shared" si="78"/>
        <v>7.9800498753117205E-2</v>
      </c>
      <c r="AF285">
        <f t="shared" si="79"/>
        <v>0.15461346633416459</v>
      </c>
      <c r="AG285">
        <f t="shared" si="80"/>
        <v>0</v>
      </c>
      <c r="AH285">
        <f t="shared" si="81"/>
        <v>2.4937655860349127E-3</v>
      </c>
      <c r="AI285">
        <f t="shared" si="82"/>
        <v>0</v>
      </c>
      <c r="AJ285">
        <v>32</v>
      </c>
      <c r="AK285">
        <v>62</v>
      </c>
      <c r="AL285">
        <v>0</v>
      </c>
      <c r="AM285">
        <v>1</v>
      </c>
      <c r="AN285">
        <v>0</v>
      </c>
      <c r="AO285" s="22">
        <f t="shared" si="90"/>
        <v>3.4965075614664802</v>
      </c>
      <c r="AP285" s="22">
        <f t="shared" si="91"/>
        <v>4.1431347263915326</v>
      </c>
      <c r="AQ285" s="22">
        <f t="shared" si="92"/>
        <v>0</v>
      </c>
      <c r="AR285" s="22">
        <f t="shared" si="93"/>
        <v>0.69314718055994529</v>
      </c>
      <c r="AS285" s="22">
        <f t="shared" si="94"/>
        <v>0</v>
      </c>
    </row>
    <row r="286" spans="1:45" x14ac:dyDescent="0.25">
      <c r="A286" s="1" t="s">
        <v>10</v>
      </c>
      <c r="B286" s="11">
        <v>42560</v>
      </c>
      <c r="C286">
        <v>2198</v>
      </c>
      <c r="D286">
        <v>2016</v>
      </c>
      <c r="E286">
        <v>4003</v>
      </c>
      <c r="F286" s="1">
        <v>57350</v>
      </c>
      <c r="G286" s="44">
        <f t="shared" si="84"/>
        <v>0</v>
      </c>
      <c r="H286" s="6">
        <v>42.040166666666664</v>
      </c>
      <c r="I286" s="6">
        <v>-82.224000000000004</v>
      </c>
      <c r="J286">
        <v>42.1434</v>
      </c>
      <c r="K286">
        <v>-82.285266666666672</v>
      </c>
      <c r="L286">
        <v>41.52558333333333</v>
      </c>
      <c r="M286">
        <v>-81.97645</v>
      </c>
      <c r="N286" s="22">
        <f t="shared" si="95"/>
        <v>0.12004468149633374</v>
      </c>
      <c r="O286" s="22">
        <f t="shared" si="96"/>
        <v>0.57103153104224236</v>
      </c>
      <c r="P286" s="22">
        <f t="shared" si="83"/>
        <v>0.12004468149633374</v>
      </c>
      <c r="Q286">
        <v>23.9</v>
      </c>
      <c r="R286">
        <v>10.5</v>
      </c>
      <c r="S286">
        <v>20.8</v>
      </c>
      <c r="T286" s="1">
        <v>18</v>
      </c>
      <c r="U286" s="1">
        <v>1</v>
      </c>
      <c r="V286">
        <v>2420</v>
      </c>
      <c r="W286" s="24">
        <v>20</v>
      </c>
      <c r="X286" s="24">
        <v>0.96</v>
      </c>
      <c r="Y286">
        <v>843</v>
      </c>
      <c r="Z286" s="28">
        <f t="shared" si="85"/>
        <v>0.15</v>
      </c>
      <c r="AA286" s="28">
        <f t="shared" si="86"/>
        <v>26.5</v>
      </c>
      <c r="AB286" s="28">
        <f t="shared" si="87"/>
        <v>4</v>
      </c>
      <c r="AC286" s="28">
        <f t="shared" si="88"/>
        <v>0.05</v>
      </c>
      <c r="AD286" s="28">
        <f t="shared" si="89"/>
        <v>10.45</v>
      </c>
      <c r="AE286">
        <f t="shared" si="78"/>
        <v>3.5587188612099642E-3</v>
      </c>
      <c r="AF286">
        <f t="shared" si="79"/>
        <v>0.62870699881376035</v>
      </c>
      <c r="AG286">
        <f t="shared" si="80"/>
        <v>9.4899169632265717E-2</v>
      </c>
      <c r="AH286">
        <f t="shared" si="81"/>
        <v>1.1862396204033216E-3</v>
      </c>
      <c r="AI286">
        <f t="shared" si="82"/>
        <v>0.24792408066429419</v>
      </c>
      <c r="AJ286">
        <v>3</v>
      </c>
      <c r="AK286">
        <v>530</v>
      </c>
      <c r="AL286">
        <v>80</v>
      </c>
      <c r="AM286">
        <v>1</v>
      </c>
      <c r="AN286">
        <v>209</v>
      </c>
      <c r="AO286" s="22">
        <f t="shared" si="90"/>
        <v>1.3862943611198906</v>
      </c>
      <c r="AP286" s="22">
        <f t="shared" si="91"/>
        <v>6.2747620212419388</v>
      </c>
      <c r="AQ286" s="22">
        <f t="shared" si="92"/>
        <v>4.3944491546724391</v>
      </c>
      <c r="AR286" s="22">
        <f t="shared" si="93"/>
        <v>0.69314718055994529</v>
      </c>
      <c r="AS286" s="22">
        <f t="shared" si="94"/>
        <v>5.3471075307174685</v>
      </c>
    </row>
    <row r="287" spans="1:45" x14ac:dyDescent="0.25">
      <c r="A287" s="1" t="s">
        <v>10</v>
      </c>
      <c r="B287" s="11">
        <v>42560</v>
      </c>
      <c r="C287">
        <v>2198</v>
      </c>
      <c r="D287">
        <v>2016</v>
      </c>
      <c r="E287">
        <v>4004</v>
      </c>
      <c r="F287" s="1">
        <v>57350</v>
      </c>
      <c r="G287" s="44">
        <f t="shared" si="84"/>
        <v>0</v>
      </c>
      <c r="H287" s="6">
        <v>42.040500000000002</v>
      </c>
      <c r="I287" s="6">
        <v>-82.224333333333334</v>
      </c>
      <c r="J287">
        <v>42.1434</v>
      </c>
      <c r="K287">
        <v>-82.285266666666672</v>
      </c>
      <c r="L287">
        <v>41.52558333333333</v>
      </c>
      <c r="M287">
        <v>-81.97645</v>
      </c>
      <c r="N287" s="22">
        <f t="shared" si="95"/>
        <v>0.11958796390570137</v>
      </c>
      <c r="O287" s="22">
        <f t="shared" si="96"/>
        <v>0.57147643919549385</v>
      </c>
      <c r="P287" s="22">
        <f t="shared" si="83"/>
        <v>0.11958796390570137</v>
      </c>
      <c r="Q287">
        <v>23.7</v>
      </c>
      <c r="R287">
        <v>14.89</v>
      </c>
      <c r="S287">
        <v>20.5</v>
      </c>
      <c r="T287" s="1">
        <v>15</v>
      </c>
      <c r="U287" s="1">
        <v>0</v>
      </c>
      <c r="V287">
        <v>2503</v>
      </c>
      <c r="W287" s="24">
        <v>20</v>
      </c>
      <c r="X287" s="24">
        <v>0.95</v>
      </c>
      <c r="Y287">
        <v>269</v>
      </c>
      <c r="Z287" s="28">
        <f t="shared" si="85"/>
        <v>0</v>
      </c>
      <c r="AA287" s="28">
        <f t="shared" si="86"/>
        <v>7.75</v>
      </c>
      <c r="AB287" s="28">
        <f t="shared" si="87"/>
        <v>1.05</v>
      </c>
      <c r="AC287" s="28">
        <f t="shared" si="88"/>
        <v>0.05</v>
      </c>
      <c r="AD287" s="28">
        <f t="shared" si="89"/>
        <v>4.05</v>
      </c>
      <c r="AE287">
        <f t="shared" si="78"/>
        <v>0</v>
      </c>
      <c r="AF287">
        <f t="shared" si="79"/>
        <v>0.57620817843866168</v>
      </c>
      <c r="AG287">
        <f t="shared" si="80"/>
        <v>7.8066914498141265E-2</v>
      </c>
      <c r="AH287">
        <f t="shared" si="81"/>
        <v>3.7174721189591076E-3</v>
      </c>
      <c r="AI287">
        <f t="shared" si="82"/>
        <v>0.30111524163568776</v>
      </c>
      <c r="AJ287">
        <v>0</v>
      </c>
      <c r="AK287">
        <v>155</v>
      </c>
      <c r="AL287">
        <v>21</v>
      </c>
      <c r="AM287">
        <v>1</v>
      </c>
      <c r="AN287">
        <v>81</v>
      </c>
      <c r="AO287" s="22">
        <f t="shared" si="90"/>
        <v>0</v>
      </c>
      <c r="AP287" s="22">
        <f t="shared" si="91"/>
        <v>5.0498560072495371</v>
      </c>
      <c r="AQ287" s="22">
        <f t="shared" si="92"/>
        <v>3.0910424533583161</v>
      </c>
      <c r="AR287" s="22">
        <f t="shared" si="93"/>
        <v>0.69314718055994529</v>
      </c>
      <c r="AS287" s="22">
        <f t="shared" si="94"/>
        <v>4.4067192472642533</v>
      </c>
    </row>
    <row r="288" spans="1:45" x14ac:dyDescent="0.25">
      <c r="A288" s="1" t="s">
        <v>10</v>
      </c>
      <c r="B288" s="11">
        <v>42560</v>
      </c>
      <c r="C288">
        <v>2198</v>
      </c>
      <c r="D288">
        <v>2016</v>
      </c>
      <c r="E288">
        <v>4005</v>
      </c>
      <c r="F288" s="1">
        <v>57350</v>
      </c>
      <c r="G288" s="44">
        <f t="shared" si="84"/>
        <v>0</v>
      </c>
      <c r="H288" s="6">
        <v>42.042166666666667</v>
      </c>
      <c r="I288" s="6">
        <v>-82.224333333333334</v>
      </c>
      <c r="J288">
        <v>42.1434</v>
      </c>
      <c r="K288">
        <v>-82.285266666666672</v>
      </c>
      <c r="L288">
        <v>41.52558333333333</v>
      </c>
      <c r="M288">
        <v>-81.97645</v>
      </c>
      <c r="N288" s="22">
        <f t="shared" si="95"/>
        <v>0.11815692484526424</v>
      </c>
      <c r="O288" s="22">
        <f t="shared" si="96"/>
        <v>0.5729786097423063</v>
      </c>
      <c r="P288" s="22">
        <f t="shared" si="83"/>
        <v>0.11815692484526424</v>
      </c>
      <c r="Q288">
        <v>23.8</v>
      </c>
      <c r="R288">
        <v>22.57</v>
      </c>
      <c r="S288">
        <v>20.5</v>
      </c>
      <c r="T288" s="1">
        <v>8</v>
      </c>
      <c r="U288" s="1">
        <v>0</v>
      </c>
      <c r="V288">
        <v>2610</v>
      </c>
      <c r="W288" s="24">
        <v>20</v>
      </c>
      <c r="X288" s="24">
        <v>0.95</v>
      </c>
      <c r="Y288">
        <v>204</v>
      </c>
      <c r="Z288" s="28">
        <f t="shared" si="85"/>
        <v>0.6</v>
      </c>
      <c r="AA288" s="28">
        <f t="shared" si="86"/>
        <v>1.1000000000000001</v>
      </c>
      <c r="AB288" s="28">
        <f t="shared" si="87"/>
        <v>0</v>
      </c>
      <c r="AC288" s="28">
        <f t="shared" si="88"/>
        <v>0</v>
      </c>
      <c r="AD288" s="28">
        <f t="shared" si="89"/>
        <v>2.85</v>
      </c>
      <c r="AE288">
        <f t="shared" si="78"/>
        <v>5.8823529411764705E-2</v>
      </c>
      <c r="AF288">
        <f t="shared" si="79"/>
        <v>0.10784313725490197</v>
      </c>
      <c r="AG288">
        <f t="shared" si="80"/>
        <v>0</v>
      </c>
      <c r="AH288">
        <f t="shared" si="81"/>
        <v>0</v>
      </c>
      <c r="AI288">
        <f t="shared" si="82"/>
        <v>0.27941176470588236</v>
      </c>
      <c r="AJ288">
        <v>12</v>
      </c>
      <c r="AK288">
        <v>22</v>
      </c>
      <c r="AL288">
        <v>0</v>
      </c>
      <c r="AM288">
        <v>0</v>
      </c>
      <c r="AN288">
        <v>57</v>
      </c>
      <c r="AO288" s="22">
        <f t="shared" si="90"/>
        <v>2.5649493574615367</v>
      </c>
      <c r="AP288" s="22">
        <f t="shared" si="91"/>
        <v>3.1354942159291497</v>
      </c>
      <c r="AQ288" s="22">
        <f t="shared" si="92"/>
        <v>0</v>
      </c>
      <c r="AR288" s="22">
        <f t="shared" si="93"/>
        <v>0</v>
      </c>
      <c r="AS288" s="22">
        <f t="shared" si="94"/>
        <v>4.0604430105464191</v>
      </c>
    </row>
    <row r="289" spans="1:45" x14ac:dyDescent="0.25">
      <c r="A289" s="1" t="s">
        <v>10</v>
      </c>
      <c r="B289" s="11">
        <v>42560</v>
      </c>
      <c r="C289">
        <v>2198</v>
      </c>
      <c r="D289">
        <v>2016</v>
      </c>
      <c r="E289">
        <v>4006</v>
      </c>
      <c r="F289" s="1">
        <v>57350</v>
      </c>
      <c r="G289" s="44">
        <f t="shared" si="84"/>
        <v>0</v>
      </c>
      <c r="H289" s="13">
        <v>41.924666666666667</v>
      </c>
      <c r="I289" s="6">
        <v>-82.163333333333327</v>
      </c>
      <c r="J289">
        <v>42.1434</v>
      </c>
      <c r="K289">
        <v>-82.285266666666672</v>
      </c>
      <c r="L289">
        <v>41.52558333333333</v>
      </c>
      <c r="M289">
        <v>-81.97645</v>
      </c>
      <c r="N289" s="22">
        <f t="shared" si="95"/>
        <v>0.2504236588042183</v>
      </c>
      <c r="O289" s="22">
        <f t="shared" si="96"/>
        <v>0.44067322045050894</v>
      </c>
      <c r="P289" s="22">
        <f t="shared" si="83"/>
        <v>0.2504236588042183</v>
      </c>
      <c r="Q289">
        <v>23.4</v>
      </c>
      <c r="R289">
        <v>10.78</v>
      </c>
      <c r="S289">
        <v>20.8</v>
      </c>
      <c r="T289" s="21">
        <v>18</v>
      </c>
      <c r="U289" s="21">
        <v>1</v>
      </c>
      <c r="V289">
        <v>2744</v>
      </c>
      <c r="W289" s="24">
        <v>20</v>
      </c>
      <c r="X289" s="24">
        <v>0.98</v>
      </c>
      <c r="Y289">
        <v>490</v>
      </c>
      <c r="Z289" s="28">
        <f t="shared" si="85"/>
        <v>0.05</v>
      </c>
      <c r="AA289" s="28">
        <f t="shared" si="86"/>
        <v>8.25</v>
      </c>
      <c r="AB289" s="28">
        <f t="shared" si="87"/>
        <v>15.45</v>
      </c>
      <c r="AC289" s="28">
        <f t="shared" si="88"/>
        <v>0</v>
      </c>
      <c r="AD289" s="28">
        <f t="shared" si="89"/>
        <v>0.55000000000000004</v>
      </c>
      <c r="AE289">
        <f t="shared" si="78"/>
        <v>2.0408163265306124E-3</v>
      </c>
      <c r="AF289">
        <f t="shared" si="79"/>
        <v>0.33673469387755101</v>
      </c>
      <c r="AG289">
        <f t="shared" si="80"/>
        <v>0.6306122448979592</v>
      </c>
      <c r="AH289">
        <f t="shared" si="81"/>
        <v>0</v>
      </c>
      <c r="AI289">
        <f t="shared" si="82"/>
        <v>2.2448979591836733E-2</v>
      </c>
      <c r="AJ289">
        <v>1</v>
      </c>
      <c r="AK289">
        <v>165</v>
      </c>
      <c r="AL289">
        <v>309</v>
      </c>
      <c r="AM289">
        <v>0</v>
      </c>
      <c r="AN289">
        <v>11</v>
      </c>
      <c r="AO289" s="22">
        <f t="shared" si="90"/>
        <v>0.69314718055994529</v>
      </c>
      <c r="AP289" s="22">
        <f t="shared" si="91"/>
        <v>5.1119877883565437</v>
      </c>
      <c r="AQ289" s="22">
        <f t="shared" si="92"/>
        <v>5.7365722974791922</v>
      </c>
      <c r="AR289" s="22">
        <f t="shared" si="93"/>
        <v>0</v>
      </c>
      <c r="AS289" s="22">
        <f t="shared" si="94"/>
        <v>2.4849066497880004</v>
      </c>
    </row>
    <row r="290" spans="1:45" x14ac:dyDescent="0.25">
      <c r="A290" s="1" t="s">
        <v>10</v>
      </c>
      <c r="B290" s="11">
        <v>42560</v>
      </c>
      <c r="C290">
        <v>2198</v>
      </c>
      <c r="D290">
        <v>2016</v>
      </c>
      <c r="E290">
        <v>4007</v>
      </c>
      <c r="F290" s="1">
        <v>57350</v>
      </c>
      <c r="G290" s="44">
        <f t="shared" si="84"/>
        <v>0</v>
      </c>
      <c r="H290" s="6">
        <v>41.928333333333335</v>
      </c>
      <c r="I290" s="6">
        <v>-82.172166666666669</v>
      </c>
      <c r="J290">
        <v>42.1434</v>
      </c>
      <c r="K290">
        <v>-82.285266666666672</v>
      </c>
      <c r="L290">
        <v>41.52558333333333</v>
      </c>
      <c r="M290">
        <v>-81.97645</v>
      </c>
      <c r="N290" s="22">
        <f t="shared" si="95"/>
        <v>0.2429923478447647</v>
      </c>
      <c r="O290" s="22">
        <f t="shared" si="96"/>
        <v>0.4477863063014722</v>
      </c>
      <c r="P290" s="22">
        <f t="shared" si="83"/>
        <v>0.2429923478447647</v>
      </c>
      <c r="Q290">
        <v>23.1</v>
      </c>
      <c r="R290">
        <v>18.04</v>
      </c>
      <c r="S290">
        <v>20.7</v>
      </c>
      <c r="T290" s="1">
        <v>15</v>
      </c>
      <c r="U290" s="1">
        <v>0</v>
      </c>
      <c r="V290">
        <v>2833</v>
      </c>
      <c r="W290" s="24">
        <v>20</v>
      </c>
      <c r="X290" s="24">
        <v>1</v>
      </c>
      <c r="Y290">
        <v>363</v>
      </c>
      <c r="Z290" s="28">
        <f t="shared" si="85"/>
        <v>0</v>
      </c>
      <c r="AA290" s="28">
        <f t="shared" si="86"/>
        <v>16.149999999999999</v>
      </c>
      <c r="AB290" s="28">
        <f t="shared" si="87"/>
        <v>0.05</v>
      </c>
      <c r="AC290" s="28">
        <f t="shared" si="88"/>
        <v>0</v>
      </c>
      <c r="AD290" s="28">
        <f t="shared" si="89"/>
        <v>1.85</v>
      </c>
      <c r="AE290">
        <f t="shared" si="78"/>
        <v>0</v>
      </c>
      <c r="AF290">
        <f t="shared" si="79"/>
        <v>0.88980716253443526</v>
      </c>
      <c r="AG290">
        <f t="shared" si="80"/>
        <v>2.7548209366391185E-3</v>
      </c>
      <c r="AH290">
        <f t="shared" si="81"/>
        <v>0</v>
      </c>
      <c r="AI290">
        <f t="shared" si="82"/>
        <v>0.10192837465564739</v>
      </c>
      <c r="AJ290">
        <v>0</v>
      </c>
      <c r="AK290">
        <v>323</v>
      </c>
      <c r="AL290">
        <v>1</v>
      </c>
      <c r="AM290">
        <v>0</v>
      </c>
      <c r="AN290">
        <v>37</v>
      </c>
      <c r="AO290" s="22">
        <f t="shared" si="90"/>
        <v>0</v>
      </c>
      <c r="AP290" s="22">
        <f t="shared" si="91"/>
        <v>5.780743515792329</v>
      </c>
      <c r="AQ290" s="22">
        <f t="shared" si="92"/>
        <v>0.69314718055994529</v>
      </c>
      <c r="AR290" s="22">
        <f t="shared" si="93"/>
        <v>0</v>
      </c>
      <c r="AS290" s="22">
        <f t="shared" si="94"/>
        <v>3.6375861597263857</v>
      </c>
    </row>
    <row r="291" spans="1:45" x14ac:dyDescent="0.25">
      <c r="A291" s="1" t="s">
        <v>10</v>
      </c>
      <c r="B291" s="11">
        <v>42559</v>
      </c>
      <c r="C291">
        <v>2198</v>
      </c>
      <c r="D291">
        <v>2016</v>
      </c>
      <c r="E291">
        <v>4008</v>
      </c>
      <c r="F291" s="1">
        <v>57350</v>
      </c>
      <c r="G291" s="44">
        <f t="shared" si="84"/>
        <v>0</v>
      </c>
      <c r="H291" s="6">
        <v>41.923999999999999</v>
      </c>
      <c r="I291" s="6">
        <v>-82.164333333333332</v>
      </c>
      <c r="J291">
        <v>42.1434</v>
      </c>
      <c r="K291">
        <v>-82.285266666666672</v>
      </c>
      <c r="L291">
        <v>41.52558333333333</v>
      </c>
      <c r="M291">
        <v>-81.97645</v>
      </c>
      <c r="N291" s="22">
        <f t="shared" si="95"/>
        <v>0.25052191742662544</v>
      </c>
      <c r="O291" s="22">
        <f t="shared" si="96"/>
        <v>0.44049516140614298</v>
      </c>
      <c r="P291" s="22">
        <f t="shared" si="83"/>
        <v>0.25052191742662544</v>
      </c>
      <c r="Q291">
        <v>23.04</v>
      </c>
      <c r="R291">
        <v>22.47</v>
      </c>
      <c r="S291">
        <v>20.9</v>
      </c>
      <c r="T291" s="1">
        <v>8</v>
      </c>
      <c r="U291" s="1">
        <v>0</v>
      </c>
      <c r="V291">
        <v>2929</v>
      </c>
      <c r="W291" s="24">
        <v>20</v>
      </c>
      <c r="X291" s="24">
        <v>1.01</v>
      </c>
      <c r="Y291">
        <v>89</v>
      </c>
      <c r="Z291" s="28">
        <f t="shared" si="85"/>
        <v>0</v>
      </c>
      <c r="AA291" s="28">
        <f t="shared" si="86"/>
        <v>4.2</v>
      </c>
      <c r="AB291" s="28">
        <f t="shared" si="87"/>
        <v>0</v>
      </c>
      <c r="AC291" s="28">
        <f t="shared" si="88"/>
        <v>0</v>
      </c>
      <c r="AD291" s="28">
        <f t="shared" si="89"/>
        <v>0.25</v>
      </c>
      <c r="AE291">
        <f t="shared" si="78"/>
        <v>0</v>
      </c>
      <c r="AF291">
        <f t="shared" si="79"/>
        <v>0.9438202247191011</v>
      </c>
      <c r="AG291">
        <f t="shared" si="80"/>
        <v>0</v>
      </c>
      <c r="AH291">
        <f t="shared" si="81"/>
        <v>0</v>
      </c>
      <c r="AI291">
        <f t="shared" si="82"/>
        <v>5.6179775280898875E-2</v>
      </c>
      <c r="AJ291">
        <v>0</v>
      </c>
      <c r="AK291">
        <v>84</v>
      </c>
      <c r="AL291">
        <v>0</v>
      </c>
      <c r="AM291">
        <v>0</v>
      </c>
      <c r="AN291">
        <v>5</v>
      </c>
      <c r="AO291" s="22">
        <f t="shared" si="90"/>
        <v>0</v>
      </c>
      <c r="AP291" s="22">
        <f t="shared" si="91"/>
        <v>4.4426512564903167</v>
      </c>
      <c r="AQ291" s="22">
        <f t="shared" si="92"/>
        <v>0</v>
      </c>
      <c r="AR291" s="22">
        <f t="shared" si="93"/>
        <v>0</v>
      </c>
      <c r="AS291" s="22">
        <f t="shared" si="94"/>
        <v>1.791759469228055</v>
      </c>
    </row>
    <row r="292" spans="1:45" x14ac:dyDescent="0.25">
      <c r="A292" s="1" t="s">
        <v>8</v>
      </c>
      <c r="B292" s="2">
        <v>42934</v>
      </c>
      <c r="C292">
        <v>199</v>
      </c>
      <c r="D292">
        <v>2017</v>
      </c>
      <c r="E292">
        <v>730</v>
      </c>
      <c r="F292" s="1">
        <v>57975</v>
      </c>
      <c r="G292" s="44">
        <f t="shared" si="84"/>
        <v>1</v>
      </c>
      <c r="H292" s="6">
        <v>42.208640000000003</v>
      </c>
      <c r="I292" s="6">
        <v>-81.107879999999994</v>
      </c>
      <c r="J292">
        <v>42.612716666666664</v>
      </c>
      <c r="K292">
        <v>-81.313883333333337</v>
      </c>
      <c r="L292">
        <v>41.874783333333333</v>
      </c>
      <c r="M292">
        <v>-80.945083333333329</v>
      </c>
      <c r="N292" s="22">
        <f t="shared" si="95"/>
        <v>0.45355851429433908</v>
      </c>
      <c r="O292" s="22">
        <f t="shared" si="96"/>
        <v>0.37143374719531996</v>
      </c>
      <c r="P292" s="22">
        <f t="shared" si="83"/>
        <v>0.37143374719531996</v>
      </c>
      <c r="S292">
        <v>22</v>
      </c>
      <c r="T292" s="1">
        <v>14</v>
      </c>
      <c r="U292" s="1">
        <v>1</v>
      </c>
      <c r="V292">
        <v>2602</v>
      </c>
      <c r="W292">
        <v>20</v>
      </c>
      <c r="X292">
        <v>1.8</v>
      </c>
      <c r="Y292" s="30">
        <v>33</v>
      </c>
      <c r="Z292" s="28">
        <f t="shared" si="85"/>
        <v>0</v>
      </c>
      <c r="AA292" s="28">
        <f t="shared" si="86"/>
        <v>1.1499999999999999</v>
      </c>
      <c r="AB292" s="28">
        <f t="shared" si="87"/>
        <v>0</v>
      </c>
      <c r="AC292" s="28">
        <f t="shared" si="88"/>
        <v>0</v>
      </c>
      <c r="AD292" s="28">
        <f t="shared" si="89"/>
        <v>0.35</v>
      </c>
      <c r="AE292" s="28">
        <f t="shared" si="78"/>
        <v>0</v>
      </c>
      <c r="AF292" s="28">
        <f t="shared" si="79"/>
        <v>0.69696969696969702</v>
      </c>
      <c r="AG292" s="28">
        <f t="shared" si="80"/>
        <v>0</v>
      </c>
      <c r="AH292" s="28">
        <f t="shared" si="81"/>
        <v>0</v>
      </c>
      <c r="AI292" s="28">
        <f t="shared" si="82"/>
        <v>0.21212121212121213</v>
      </c>
      <c r="AJ292" s="25">
        <v>0</v>
      </c>
      <c r="AK292" s="26">
        <v>23</v>
      </c>
      <c r="AL292" s="26">
        <v>0</v>
      </c>
      <c r="AM292" s="30">
        <v>0</v>
      </c>
      <c r="AN292" s="27">
        <v>7</v>
      </c>
      <c r="AO292" s="22">
        <f t="shared" si="90"/>
        <v>0</v>
      </c>
      <c r="AP292" s="22">
        <f t="shared" si="91"/>
        <v>3.1780538303479458</v>
      </c>
      <c r="AQ292" s="22">
        <f t="shared" si="92"/>
        <v>0</v>
      </c>
      <c r="AR292" s="22">
        <f t="shared" si="93"/>
        <v>0</v>
      </c>
      <c r="AS292" s="22">
        <f t="shared" si="94"/>
        <v>2.0794415416798357</v>
      </c>
    </row>
    <row r="293" spans="1:45" x14ac:dyDescent="0.25">
      <c r="A293" s="1" t="s">
        <v>8</v>
      </c>
      <c r="B293" s="2">
        <v>42934</v>
      </c>
      <c r="C293">
        <v>199</v>
      </c>
      <c r="D293">
        <v>2017</v>
      </c>
      <c r="E293">
        <v>731</v>
      </c>
      <c r="F293" s="1">
        <v>57975</v>
      </c>
      <c r="G293" s="44">
        <f t="shared" si="84"/>
        <v>1</v>
      </c>
      <c r="H293" s="6">
        <v>42.131790000000002</v>
      </c>
      <c r="I293" s="6">
        <v>-81.070149999999998</v>
      </c>
      <c r="J293">
        <v>42.612716666666664</v>
      </c>
      <c r="K293">
        <v>-81.313883333333337</v>
      </c>
      <c r="L293">
        <v>41.874783333333333</v>
      </c>
      <c r="M293">
        <v>-80.945083333333329</v>
      </c>
      <c r="N293" s="22">
        <f t="shared" si="95"/>
        <v>0.53916268091262265</v>
      </c>
      <c r="O293" s="22">
        <f t="shared" si="96"/>
        <v>0.28582179381954764</v>
      </c>
      <c r="P293" s="22">
        <f t="shared" si="83"/>
        <v>0.28582179381954764</v>
      </c>
      <c r="S293">
        <v>22</v>
      </c>
      <c r="T293" s="1">
        <v>13.4</v>
      </c>
      <c r="U293" s="1">
        <v>1</v>
      </c>
      <c r="V293">
        <v>2706</v>
      </c>
      <c r="W293">
        <v>20</v>
      </c>
      <c r="X293">
        <v>1.8</v>
      </c>
      <c r="Y293" s="30">
        <v>25</v>
      </c>
      <c r="Z293" s="28">
        <f t="shared" si="85"/>
        <v>0</v>
      </c>
      <c r="AA293" s="28">
        <f t="shared" si="86"/>
        <v>0.85</v>
      </c>
      <c r="AB293" s="28">
        <f t="shared" si="87"/>
        <v>0</v>
      </c>
      <c r="AC293" s="28">
        <f t="shared" si="88"/>
        <v>0</v>
      </c>
      <c r="AD293" s="28">
        <f t="shared" si="89"/>
        <v>0.15</v>
      </c>
      <c r="AE293" s="28">
        <f t="shared" si="78"/>
        <v>0</v>
      </c>
      <c r="AF293" s="28">
        <f t="shared" si="79"/>
        <v>0.68</v>
      </c>
      <c r="AG293" s="28">
        <f t="shared" si="80"/>
        <v>0</v>
      </c>
      <c r="AH293" s="28">
        <f t="shared" si="81"/>
        <v>0</v>
      </c>
      <c r="AI293" s="28">
        <f t="shared" si="82"/>
        <v>0.12</v>
      </c>
      <c r="AJ293" s="30">
        <v>0</v>
      </c>
      <c r="AK293" s="26">
        <v>17</v>
      </c>
      <c r="AL293" s="26">
        <v>0</v>
      </c>
      <c r="AM293" s="30">
        <v>0</v>
      </c>
      <c r="AN293" s="27">
        <v>3</v>
      </c>
      <c r="AO293" s="22">
        <f t="shared" si="90"/>
        <v>0</v>
      </c>
      <c r="AP293" s="22">
        <f t="shared" si="91"/>
        <v>2.8903717578961645</v>
      </c>
      <c r="AQ293" s="22">
        <f t="shared" si="92"/>
        <v>0</v>
      </c>
      <c r="AR293" s="22">
        <f t="shared" si="93"/>
        <v>0</v>
      </c>
      <c r="AS293" s="22">
        <f t="shared" si="94"/>
        <v>1.3862943611198906</v>
      </c>
    </row>
    <row r="294" spans="1:45" x14ac:dyDescent="0.25">
      <c r="A294" s="1" t="s">
        <v>8</v>
      </c>
      <c r="B294" s="2">
        <v>42934</v>
      </c>
      <c r="C294">
        <v>199</v>
      </c>
      <c r="D294">
        <v>2017</v>
      </c>
      <c r="E294">
        <v>732</v>
      </c>
      <c r="F294" s="1">
        <v>57975</v>
      </c>
      <c r="G294" s="44">
        <f t="shared" si="84"/>
        <v>1</v>
      </c>
      <c r="H294" s="6">
        <v>42.063220000000001</v>
      </c>
      <c r="I294" s="6">
        <v>-81.037120000000002</v>
      </c>
      <c r="J294">
        <v>42.612716666666664</v>
      </c>
      <c r="K294">
        <v>-81.313883333333337</v>
      </c>
      <c r="L294">
        <v>41.874783333333333</v>
      </c>
      <c r="M294">
        <v>-80.945083333333329</v>
      </c>
      <c r="N294" s="22">
        <f t="shared" si="95"/>
        <v>0.61525972512066163</v>
      </c>
      <c r="O294" s="22">
        <f t="shared" si="96"/>
        <v>0.20971200574968776</v>
      </c>
      <c r="P294" s="22">
        <f t="shared" si="83"/>
        <v>0.20971200574968776</v>
      </c>
      <c r="S294">
        <v>22</v>
      </c>
      <c r="T294" s="1">
        <v>9.4</v>
      </c>
      <c r="U294" s="1">
        <v>0</v>
      </c>
      <c r="V294">
        <v>2804</v>
      </c>
      <c r="W294">
        <v>20</v>
      </c>
      <c r="X294">
        <v>1.8</v>
      </c>
      <c r="Y294" s="30">
        <v>22</v>
      </c>
      <c r="Z294" s="28">
        <f t="shared" si="85"/>
        <v>0</v>
      </c>
      <c r="AA294" s="28">
        <f t="shared" si="86"/>
        <v>1</v>
      </c>
      <c r="AB294" s="28">
        <f t="shared" si="87"/>
        <v>0</v>
      </c>
      <c r="AC294" s="28">
        <f t="shared" si="88"/>
        <v>0</v>
      </c>
      <c r="AD294" s="28">
        <f t="shared" si="89"/>
        <v>0</v>
      </c>
      <c r="AE294" s="28">
        <f t="shared" si="78"/>
        <v>0</v>
      </c>
      <c r="AF294" s="28">
        <f t="shared" si="79"/>
        <v>0.90909090909090906</v>
      </c>
      <c r="AG294" s="28">
        <f t="shared" si="80"/>
        <v>0</v>
      </c>
      <c r="AH294" s="28">
        <f t="shared" si="81"/>
        <v>0</v>
      </c>
      <c r="AI294" s="28">
        <f t="shared" si="82"/>
        <v>0</v>
      </c>
      <c r="AJ294" s="30">
        <v>0</v>
      </c>
      <c r="AK294" s="26">
        <v>20</v>
      </c>
      <c r="AL294" s="26">
        <v>0</v>
      </c>
      <c r="AM294" s="30">
        <v>0</v>
      </c>
      <c r="AN294" s="30">
        <v>0</v>
      </c>
      <c r="AO294" s="22">
        <f t="shared" si="90"/>
        <v>0</v>
      </c>
      <c r="AP294" s="22">
        <f t="shared" si="91"/>
        <v>3.044522437723423</v>
      </c>
      <c r="AQ294" s="22">
        <f t="shared" si="92"/>
        <v>0</v>
      </c>
      <c r="AR294" s="22">
        <f t="shared" si="93"/>
        <v>0</v>
      </c>
      <c r="AS294" s="22">
        <f t="shared" si="94"/>
        <v>0</v>
      </c>
    </row>
    <row r="295" spans="1:45" x14ac:dyDescent="0.25">
      <c r="A295" s="1" t="s">
        <v>8</v>
      </c>
      <c r="B295" s="2">
        <v>42935</v>
      </c>
      <c r="C295">
        <v>200</v>
      </c>
      <c r="D295">
        <v>2017</v>
      </c>
      <c r="E295">
        <v>733</v>
      </c>
      <c r="F295" s="1">
        <v>57475</v>
      </c>
      <c r="G295" s="44">
        <f t="shared" si="84"/>
        <v>0</v>
      </c>
      <c r="H295" s="6">
        <v>41.794730000000001</v>
      </c>
      <c r="I295" s="6">
        <v>-81.871920000000003</v>
      </c>
      <c r="J295">
        <v>42.228400000000001</v>
      </c>
      <c r="K295">
        <v>-82.098483333333334</v>
      </c>
      <c r="L295">
        <v>41.508116666666666</v>
      </c>
      <c r="M295">
        <v>-81.739649999999997</v>
      </c>
      <c r="N295" s="22">
        <f t="shared" si="95"/>
        <v>0.48928581924178999</v>
      </c>
      <c r="O295" s="22">
        <f t="shared" si="96"/>
        <v>0.31566209107912679</v>
      </c>
      <c r="P295" s="22">
        <f t="shared" si="83"/>
        <v>0.31566209107912679</v>
      </c>
      <c r="S295">
        <v>22</v>
      </c>
      <c r="T295" s="1">
        <v>9.1</v>
      </c>
      <c r="U295" s="1">
        <v>0</v>
      </c>
      <c r="V295">
        <v>2619</v>
      </c>
      <c r="W295">
        <v>20</v>
      </c>
      <c r="X295">
        <v>1.8</v>
      </c>
      <c r="Y295" s="30">
        <v>281</v>
      </c>
      <c r="Z295" s="28">
        <f t="shared" si="85"/>
        <v>8.65</v>
      </c>
      <c r="AA295" s="28">
        <f t="shared" si="86"/>
        <v>0</v>
      </c>
      <c r="AB295" s="28">
        <f t="shared" si="87"/>
        <v>0</v>
      </c>
      <c r="AC295" s="28">
        <f t="shared" si="88"/>
        <v>0</v>
      </c>
      <c r="AD295" s="28">
        <f t="shared" si="89"/>
        <v>0</v>
      </c>
      <c r="AE295" s="28">
        <f t="shared" si="78"/>
        <v>0.61565836298932386</v>
      </c>
      <c r="AF295" s="28">
        <f t="shared" si="79"/>
        <v>0</v>
      </c>
      <c r="AG295" s="28">
        <f t="shared" si="80"/>
        <v>0</v>
      </c>
      <c r="AH295" s="28">
        <f t="shared" si="81"/>
        <v>0</v>
      </c>
      <c r="AI295" s="28">
        <f t="shared" si="82"/>
        <v>0</v>
      </c>
      <c r="AJ295" s="30">
        <v>173</v>
      </c>
      <c r="AK295" s="26">
        <v>0</v>
      </c>
      <c r="AL295" s="30">
        <v>0</v>
      </c>
      <c r="AM295" s="30">
        <v>0</v>
      </c>
      <c r="AN295" s="30">
        <v>0</v>
      </c>
      <c r="AO295" s="22">
        <f t="shared" si="90"/>
        <v>5.1590552992145291</v>
      </c>
      <c r="AP295" s="22">
        <f t="shared" si="91"/>
        <v>0</v>
      </c>
      <c r="AQ295" s="22">
        <f t="shared" si="92"/>
        <v>0</v>
      </c>
      <c r="AR295" s="22">
        <f t="shared" si="93"/>
        <v>0</v>
      </c>
      <c r="AS295" s="22">
        <f t="shared" si="94"/>
        <v>0</v>
      </c>
    </row>
    <row r="296" spans="1:45" x14ac:dyDescent="0.25">
      <c r="A296" s="1" t="s">
        <v>8</v>
      </c>
      <c r="B296" s="2">
        <v>42935</v>
      </c>
      <c r="C296">
        <v>200</v>
      </c>
      <c r="D296">
        <v>2017</v>
      </c>
      <c r="E296">
        <v>734</v>
      </c>
      <c r="F296" s="1">
        <v>57475</v>
      </c>
      <c r="G296" s="44">
        <f t="shared" si="84"/>
        <v>0</v>
      </c>
      <c r="H296" s="6">
        <v>41.734990000000003</v>
      </c>
      <c r="I296" s="6">
        <v>-81.843029999999999</v>
      </c>
      <c r="J296">
        <v>42.228400000000001</v>
      </c>
      <c r="K296">
        <v>-82.098483333333334</v>
      </c>
      <c r="L296">
        <v>41.508116666666666</v>
      </c>
      <c r="M296">
        <v>-81.739649999999997</v>
      </c>
      <c r="N296" s="22">
        <f t="shared" si="95"/>
        <v>0.55561662467128303</v>
      </c>
      <c r="O296" s="22">
        <f t="shared" si="96"/>
        <v>0.24931693439832731</v>
      </c>
      <c r="P296" s="22">
        <f t="shared" si="83"/>
        <v>0.24931693439832731</v>
      </c>
      <c r="S296">
        <v>22</v>
      </c>
      <c r="T296" s="1">
        <v>14.6</v>
      </c>
      <c r="U296" s="1">
        <v>1</v>
      </c>
      <c r="V296">
        <v>2713</v>
      </c>
      <c r="W296">
        <v>20</v>
      </c>
      <c r="X296">
        <v>1.8</v>
      </c>
      <c r="Y296" s="30">
        <v>261</v>
      </c>
      <c r="Z296" s="28">
        <f t="shared" si="85"/>
        <v>9.4499999999999993</v>
      </c>
      <c r="AA296" s="28">
        <f t="shared" si="86"/>
        <v>0.55000000000000004</v>
      </c>
      <c r="AB296" s="28">
        <f t="shared" si="87"/>
        <v>0</v>
      </c>
      <c r="AC296" s="28">
        <f t="shared" si="88"/>
        <v>0</v>
      </c>
      <c r="AD296" s="28">
        <f t="shared" si="89"/>
        <v>1.35</v>
      </c>
      <c r="AE296" s="28">
        <f t="shared" si="78"/>
        <v>0.72413793103448276</v>
      </c>
      <c r="AF296" s="28">
        <f t="shared" si="79"/>
        <v>4.2145593869731802E-2</v>
      </c>
      <c r="AG296" s="28">
        <f t="shared" si="80"/>
        <v>0</v>
      </c>
      <c r="AH296" s="28">
        <f t="shared" si="81"/>
        <v>0</v>
      </c>
      <c r="AI296" s="28">
        <f t="shared" si="82"/>
        <v>0.10344827586206896</v>
      </c>
      <c r="AJ296" s="25">
        <v>189</v>
      </c>
      <c r="AK296" s="26">
        <v>11</v>
      </c>
      <c r="AL296" s="26">
        <v>0</v>
      </c>
      <c r="AM296" s="30">
        <v>0</v>
      </c>
      <c r="AN296" s="27">
        <v>27</v>
      </c>
      <c r="AO296" s="22">
        <f t="shared" si="90"/>
        <v>5.2470240721604862</v>
      </c>
      <c r="AP296" s="22">
        <f t="shared" si="91"/>
        <v>2.4849066497880004</v>
      </c>
      <c r="AQ296" s="22">
        <f t="shared" si="92"/>
        <v>0</v>
      </c>
      <c r="AR296" s="22">
        <f t="shared" si="93"/>
        <v>0</v>
      </c>
      <c r="AS296" s="22">
        <f t="shared" si="94"/>
        <v>3.3322045101752038</v>
      </c>
    </row>
    <row r="297" spans="1:45" x14ac:dyDescent="0.25">
      <c r="A297" s="1" t="s">
        <v>8</v>
      </c>
      <c r="B297" s="2">
        <v>42935</v>
      </c>
      <c r="C297">
        <v>200</v>
      </c>
      <c r="D297">
        <v>2017</v>
      </c>
      <c r="E297">
        <v>735</v>
      </c>
      <c r="F297" s="1">
        <v>57475</v>
      </c>
      <c r="G297" s="44">
        <f t="shared" si="84"/>
        <v>0</v>
      </c>
      <c r="H297" s="6">
        <v>41.665149999999997</v>
      </c>
      <c r="I297" s="6">
        <v>-81.808940000000007</v>
      </c>
      <c r="J297">
        <v>42.228400000000001</v>
      </c>
      <c r="K297">
        <v>-82.098483333333334</v>
      </c>
      <c r="L297">
        <v>41.508116666666666</v>
      </c>
      <c r="M297">
        <v>-81.739649999999997</v>
      </c>
      <c r="N297" s="22">
        <f t="shared" si="95"/>
        <v>0.6333134329680512</v>
      </c>
      <c r="O297" s="22">
        <f t="shared" si="96"/>
        <v>0.17164082229405195</v>
      </c>
      <c r="P297" s="22">
        <f t="shared" si="83"/>
        <v>0.17164082229405195</v>
      </c>
      <c r="S297">
        <v>21</v>
      </c>
      <c r="T297" s="1">
        <v>7.3</v>
      </c>
      <c r="U297" s="1">
        <v>0</v>
      </c>
      <c r="V297">
        <v>2814</v>
      </c>
      <c r="W297">
        <v>20</v>
      </c>
      <c r="X297">
        <v>1.8</v>
      </c>
      <c r="Y297" s="30">
        <v>91</v>
      </c>
      <c r="Z297" s="28">
        <f t="shared" si="85"/>
        <v>0.15</v>
      </c>
      <c r="AA297" s="28">
        <f t="shared" si="86"/>
        <v>3.6</v>
      </c>
      <c r="AB297" s="28">
        <f t="shared" si="87"/>
        <v>0</v>
      </c>
      <c r="AC297" s="28">
        <f t="shared" si="88"/>
        <v>0</v>
      </c>
      <c r="AD297" s="28">
        <f t="shared" si="89"/>
        <v>0.2</v>
      </c>
      <c r="AE297" s="28">
        <f t="shared" si="78"/>
        <v>3.2967032967032968E-2</v>
      </c>
      <c r="AF297" s="28">
        <f t="shared" si="79"/>
        <v>0.79120879120879117</v>
      </c>
      <c r="AG297" s="28">
        <f t="shared" si="80"/>
        <v>0</v>
      </c>
      <c r="AH297" s="28">
        <f t="shared" si="81"/>
        <v>0</v>
      </c>
      <c r="AI297" s="28">
        <f t="shared" si="82"/>
        <v>4.3956043956043959E-2</v>
      </c>
      <c r="AJ297" s="30">
        <v>3</v>
      </c>
      <c r="AK297" s="26">
        <v>72</v>
      </c>
      <c r="AL297" s="26">
        <v>0</v>
      </c>
      <c r="AM297" s="30">
        <v>0</v>
      </c>
      <c r="AN297" s="27">
        <v>4</v>
      </c>
      <c r="AO297" s="22">
        <f t="shared" si="90"/>
        <v>1.3862943611198906</v>
      </c>
      <c r="AP297" s="22">
        <f t="shared" si="91"/>
        <v>4.290459441148391</v>
      </c>
      <c r="AQ297" s="22">
        <f t="shared" si="92"/>
        <v>0</v>
      </c>
      <c r="AR297" s="22">
        <f t="shared" si="93"/>
        <v>0</v>
      </c>
      <c r="AS297" s="22">
        <f t="shared" si="94"/>
        <v>1.6094379124341003</v>
      </c>
    </row>
    <row r="298" spans="1:45" x14ac:dyDescent="0.25">
      <c r="A298" s="1" t="s">
        <v>8</v>
      </c>
      <c r="B298" s="2">
        <v>42936</v>
      </c>
      <c r="C298">
        <v>201</v>
      </c>
      <c r="D298">
        <v>2017</v>
      </c>
      <c r="E298">
        <v>736</v>
      </c>
      <c r="F298" s="1">
        <v>57725</v>
      </c>
      <c r="G298" s="44">
        <f t="shared" si="84"/>
        <v>1</v>
      </c>
      <c r="H298" s="6">
        <v>42.032719999999998</v>
      </c>
      <c r="I298" s="6">
        <v>-81.49248</v>
      </c>
      <c r="J298">
        <v>42.424050000000001</v>
      </c>
      <c r="K298">
        <v>-81.688833333333335</v>
      </c>
      <c r="L298">
        <v>41.758499999999998</v>
      </c>
      <c r="M298">
        <v>-81.356416666666661</v>
      </c>
      <c r="N298" s="22">
        <f t="shared" si="95"/>
        <v>0.43782850570870135</v>
      </c>
      <c r="O298" s="22">
        <f t="shared" si="96"/>
        <v>0.30612062831142123</v>
      </c>
      <c r="P298" s="22">
        <f t="shared" si="83"/>
        <v>0.30612062831142123</v>
      </c>
      <c r="S298">
        <v>22</v>
      </c>
      <c r="T298" s="1">
        <v>14.3</v>
      </c>
      <c r="U298" s="1">
        <v>1</v>
      </c>
      <c r="V298">
        <v>2533</v>
      </c>
      <c r="W298">
        <v>20</v>
      </c>
      <c r="X298">
        <v>1.8</v>
      </c>
      <c r="Y298" s="30">
        <v>1158</v>
      </c>
      <c r="Z298" s="28">
        <f t="shared" si="85"/>
        <v>0</v>
      </c>
      <c r="AA298" s="28">
        <f t="shared" si="86"/>
        <v>28.3</v>
      </c>
      <c r="AB298" s="28">
        <f t="shared" si="87"/>
        <v>23.75</v>
      </c>
      <c r="AC298" s="28">
        <f t="shared" si="88"/>
        <v>0</v>
      </c>
      <c r="AD298" s="28">
        <f t="shared" si="89"/>
        <v>5.2</v>
      </c>
      <c r="AE298" s="28">
        <f t="shared" si="78"/>
        <v>0</v>
      </c>
      <c r="AF298" s="28">
        <f t="shared" si="79"/>
        <v>0.48877374784110533</v>
      </c>
      <c r="AG298" s="28">
        <f t="shared" si="80"/>
        <v>0.41018998272884283</v>
      </c>
      <c r="AH298" s="28">
        <f t="shared" si="81"/>
        <v>0</v>
      </c>
      <c r="AI298" s="28">
        <f t="shared" si="82"/>
        <v>8.9810017271157172E-2</v>
      </c>
      <c r="AJ298" s="30">
        <v>0</v>
      </c>
      <c r="AK298" s="26">
        <v>566</v>
      </c>
      <c r="AL298" s="26">
        <v>475</v>
      </c>
      <c r="AM298" s="30">
        <v>0</v>
      </c>
      <c r="AN298" s="27">
        <v>104</v>
      </c>
      <c r="AO298" s="22">
        <f t="shared" si="90"/>
        <v>0</v>
      </c>
      <c r="AP298" s="22">
        <f t="shared" si="91"/>
        <v>6.3403593037277517</v>
      </c>
      <c r="AQ298" s="22">
        <f t="shared" si="92"/>
        <v>6.1654178542314204</v>
      </c>
      <c r="AR298" s="22">
        <f t="shared" si="93"/>
        <v>0</v>
      </c>
      <c r="AS298" s="22">
        <f t="shared" si="94"/>
        <v>4.6539603501575231</v>
      </c>
    </row>
    <row r="299" spans="1:45" x14ac:dyDescent="0.25">
      <c r="A299" s="1" t="s">
        <v>8</v>
      </c>
      <c r="B299" s="2">
        <v>42936</v>
      </c>
      <c r="C299">
        <v>201</v>
      </c>
      <c r="D299">
        <v>2017</v>
      </c>
      <c r="E299">
        <v>737</v>
      </c>
      <c r="F299" s="1">
        <v>57725</v>
      </c>
      <c r="G299" s="44">
        <f t="shared" si="84"/>
        <v>1</v>
      </c>
      <c r="H299" s="13">
        <v>41.961269999999999</v>
      </c>
      <c r="I299" s="6">
        <v>-81.461010000000002</v>
      </c>
      <c r="J299">
        <v>42.424050000000001</v>
      </c>
      <c r="K299">
        <v>-81.688833333333335</v>
      </c>
      <c r="L299">
        <v>41.758499999999998</v>
      </c>
      <c r="M299">
        <v>-81.356416666666661</v>
      </c>
      <c r="N299" s="22">
        <f t="shared" si="95"/>
        <v>0.5158185723790033</v>
      </c>
      <c r="O299" s="22">
        <f t="shared" si="96"/>
        <v>0.22815660910387794</v>
      </c>
      <c r="P299" s="22">
        <f t="shared" si="83"/>
        <v>0.22815660910387794</v>
      </c>
      <c r="S299">
        <v>22</v>
      </c>
      <c r="T299" s="21">
        <v>10.7</v>
      </c>
      <c r="U299" s="21">
        <v>0</v>
      </c>
      <c r="V299">
        <v>2635</v>
      </c>
      <c r="W299">
        <v>20</v>
      </c>
      <c r="X299">
        <v>1.8</v>
      </c>
      <c r="Y299" s="30">
        <v>50</v>
      </c>
      <c r="Z299" s="28">
        <f t="shared" si="85"/>
        <v>0.85</v>
      </c>
      <c r="AA299" s="28">
        <f t="shared" si="86"/>
        <v>0.8</v>
      </c>
      <c r="AB299" s="28">
        <f t="shared" si="87"/>
        <v>0</v>
      </c>
      <c r="AC299" s="28">
        <f t="shared" si="88"/>
        <v>0</v>
      </c>
      <c r="AD299" s="28">
        <f t="shared" si="89"/>
        <v>0</v>
      </c>
      <c r="AE299" s="28">
        <f t="shared" si="78"/>
        <v>0.34</v>
      </c>
      <c r="AF299" s="28">
        <f t="shared" si="79"/>
        <v>0.32</v>
      </c>
      <c r="AG299" s="28">
        <f t="shared" si="80"/>
        <v>0</v>
      </c>
      <c r="AH299" s="28">
        <f t="shared" si="81"/>
        <v>0</v>
      </c>
      <c r="AI299" s="28">
        <f t="shared" si="82"/>
        <v>0</v>
      </c>
      <c r="AJ299" s="25">
        <v>17</v>
      </c>
      <c r="AK299" s="26">
        <v>16</v>
      </c>
      <c r="AL299" s="26">
        <v>0</v>
      </c>
      <c r="AM299" s="30">
        <v>0</v>
      </c>
      <c r="AN299" s="30">
        <v>0</v>
      </c>
      <c r="AO299" s="22">
        <f t="shared" si="90"/>
        <v>2.8903717578961645</v>
      </c>
      <c r="AP299" s="22">
        <f t="shared" si="91"/>
        <v>2.8332133440562162</v>
      </c>
      <c r="AQ299" s="22">
        <f t="shared" si="92"/>
        <v>0</v>
      </c>
      <c r="AR299" s="22">
        <f t="shared" si="93"/>
        <v>0</v>
      </c>
      <c r="AS299" s="22">
        <f t="shared" si="94"/>
        <v>0</v>
      </c>
    </row>
    <row r="300" spans="1:45" x14ac:dyDescent="0.25">
      <c r="A300" s="1" t="s">
        <v>8</v>
      </c>
      <c r="B300" s="2">
        <v>42936</v>
      </c>
      <c r="C300">
        <v>201</v>
      </c>
      <c r="D300">
        <v>2017</v>
      </c>
      <c r="E300">
        <v>738</v>
      </c>
      <c r="F300" s="1">
        <v>57725</v>
      </c>
      <c r="G300" s="44">
        <f t="shared" si="84"/>
        <v>1</v>
      </c>
      <c r="H300" s="6">
        <v>41.91404</v>
      </c>
      <c r="I300" s="6">
        <v>-81.438280000000006</v>
      </c>
      <c r="J300">
        <v>42.424050000000001</v>
      </c>
      <c r="K300">
        <v>-81.688833333333335</v>
      </c>
      <c r="L300">
        <v>41.758499999999998</v>
      </c>
      <c r="M300">
        <v>-81.356416666666661</v>
      </c>
      <c r="N300" s="22">
        <f t="shared" si="95"/>
        <v>0.5682316190995037</v>
      </c>
      <c r="O300" s="22">
        <f t="shared" si="96"/>
        <v>0.1757677357891573</v>
      </c>
      <c r="P300" s="22">
        <f t="shared" si="83"/>
        <v>0.1757677357891573</v>
      </c>
      <c r="S300">
        <v>21</v>
      </c>
      <c r="T300" s="1">
        <v>7.3</v>
      </c>
      <c r="U300" s="1">
        <v>0</v>
      </c>
      <c r="V300">
        <v>2719</v>
      </c>
      <c r="W300">
        <v>20</v>
      </c>
      <c r="X300">
        <v>1.8</v>
      </c>
      <c r="Y300" s="30">
        <v>19</v>
      </c>
      <c r="Z300" s="28">
        <f t="shared" si="85"/>
        <v>0.15</v>
      </c>
      <c r="AA300" s="28">
        <f t="shared" si="86"/>
        <v>0.45</v>
      </c>
      <c r="AB300" s="28">
        <f t="shared" si="87"/>
        <v>0</v>
      </c>
      <c r="AC300" s="28">
        <f t="shared" si="88"/>
        <v>0</v>
      </c>
      <c r="AD300" s="28">
        <f t="shared" si="89"/>
        <v>0.05</v>
      </c>
      <c r="AE300" s="28">
        <f t="shared" si="78"/>
        <v>0.15789473684210525</v>
      </c>
      <c r="AF300" s="28">
        <f t="shared" si="79"/>
        <v>0.47368421052631576</v>
      </c>
      <c r="AG300" s="28">
        <f t="shared" si="80"/>
        <v>0</v>
      </c>
      <c r="AH300" s="28">
        <f t="shared" si="81"/>
        <v>0</v>
      </c>
      <c r="AI300" s="28">
        <f t="shared" si="82"/>
        <v>5.2631578947368418E-2</v>
      </c>
      <c r="AJ300" s="30">
        <v>3</v>
      </c>
      <c r="AK300" s="26">
        <v>9</v>
      </c>
      <c r="AL300" s="30">
        <v>0</v>
      </c>
      <c r="AM300" s="30">
        <v>0</v>
      </c>
      <c r="AN300" s="27">
        <v>1</v>
      </c>
      <c r="AO300" s="22">
        <f t="shared" si="90"/>
        <v>1.3862943611198906</v>
      </c>
      <c r="AP300" s="22">
        <f t="shared" si="91"/>
        <v>2.3025850929940459</v>
      </c>
      <c r="AQ300" s="22">
        <f t="shared" si="92"/>
        <v>0</v>
      </c>
      <c r="AR300" s="22">
        <f t="shared" si="93"/>
        <v>0</v>
      </c>
      <c r="AS300" s="22">
        <f t="shared" si="94"/>
        <v>0.69314718055994529</v>
      </c>
    </row>
    <row r="301" spans="1:45" x14ac:dyDescent="0.25">
      <c r="A301" s="1" t="s">
        <v>10</v>
      </c>
      <c r="B301" s="11">
        <v>42933</v>
      </c>
      <c r="C301">
        <v>198</v>
      </c>
      <c r="D301">
        <v>2017</v>
      </c>
      <c r="E301">
        <v>1001</v>
      </c>
      <c r="F301" s="1">
        <v>58100</v>
      </c>
      <c r="G301" s="44">
        <f t="shared" si="84"/>
        <v>1</v>
      </c>
      <c r="H301" s="6">
        <v>42.384666666666668</v>
      </c>
      <c r="I301" s="6">
        <v>-80.914666666666662</v>
      </c>
      <c r="J301">
        <v>42.632766666666669</v>
      </c>
      <c r="K301">
        <v>-81.01636666666667</v>
      </c>
      <c r="L301">
        <v>41.96221666666667</v>
      </c>
      <c r="M301">
        <v>-80.744650000000007</v>
      </c>
      <c r="N301" s="22">
        <f t="shared" si="95"/>
        <v>0.26813522707768572</v>
      </c>
      <c r="O301" s="22">
        <f t="shared" si="96"/>
        <v>0.45537860011691206</v>
      </c>
      <c r="P301" s="22">
        <f t="shared" si="83"/>
        <v>0.26813522707768572</v>
      </c>
      <c r="Q301">
        <v>21.94</v>
      </c>
      <c r="R301">
        <v>13.2</v>
      </c>
      <c r="S301">
        <v>20.8</v>
      </c>
      <c r="T301" s="1">
        <v>19</v>
      </c>
      <c r="U301" s="47">
        <v>1</v>
      </c>
      <c r="V301">
        <v>2154</v>
      </c>
      <c r="W301" s="30">
        <v>20</v>
      </c>
      <c r="X301" s="30">
        <v>1.08</v>
      </c>
      <c r="Y301" s="30">
        <v>274</v>
      </c>
      <c r="Z301" s="28">
        <f t="shared" si="85"/>
        <v>0</v>
      </c>
      <c r="AA301" s="28">
        <f t="shared" si="86"/>
        <v>10.85</v>
      </c>
      <c r="AB301" s="28">
        <f t="shared" si="87"/>
        <v>1.75</v>
      </c>
      <c r="AC301" s="28">
        <f t="shared" si="88"/>
        <v>0</v>
      </c>
      <c r="AD301" s="28">
        <f t="shared" si="89"/>
        <v>0.95</v>
      </c>
      <c r="AE301" s="28">
        <f t="shared" si="78"/>
        <v>0</v>
      </c>
      <c r="AF301" s="28">
        <f t="shared" si="79"/>
        <v>0.79197080291970801</v>
      </c>
      <c r="AG301" s="28">
        <f t="shared" si="80"/>
        <v>0.12773722627737227</v>
      </c>
      <c r="AH301" s="28">
        <f t="shared" si="81"/>
        <v>0</v>
      </c>
      <c r="AI301" s="28">
        <f t="shared" si="82"/>
        <v>6.9343065693430656E-2</v>
      </c>
      <c r="AJ301" s="30">
        <v>0</v>
      </c>
      <c r="AK301" s="30">
        <v>217</v>
      </c>
      <c r="AL301" s="30">
        <v>35</v>
      </c>
      <c r="AM301" s="30">
        <v>0</v>
      </c>
      <c r="AN301" s="30">
        <v>19</v>
      </c>
      <c r="AO301" s="22">
        <f t="shared" si="90"/>
        <v>0</v>
      </c>
      <c r="AP301" s="22">
        <f t="shared" si="91"/>
        <v>5.3844950627890888</v>
      </c>
      <c r="AQ301" s="22">
        <f t="shared" si="92"/>
        <v>3.5835189384561099</v>
      </c>
      <c r="AR301" s="22">
        <f t="shared" si="93"/>
        <v>0</v>
      </c>
      <c r="AS301" s="22">
        <f t="shared" si="94"/>
        <v>2.9957322735539909</v>
      </c>
    </row>
    <row r="302" spans="1:45" x14ac:dyDescent="0.25">
      <c r="A302" s="1" t="s">
        <v>10</v>
      </c>
      <c r="B302" s="11">
        <v>42933</v>
      </c>
      <c r="C302">
        <v>198</v>
      </c>
      <c r="D302">
        <v>2017</v>
      </c>
      <c r="E302">
        <v>1002</v>
      </c>
      <c r="F302" s="1">
        <v>58100</v>
      </c>
      <c r="G302" s="44">
        <f t="shared" si="84"/>
        <v>1</v>
      </c>
      <c r="H302" s="6">
        <v>42.385666666666665</v>
      </c>
      <c r="I302" s="6">
        <v>-80.894833333333338</v>
      </c>
      <c r="J302">
        <v>42.632766666666669</v>
      </c>
      <c r="K302">
        <v>-81.01636666666667</v>
      </c>
      <c r="L302">
        <v>41.96221666666667</v>
      </c>
      <c r="M302">
        <v>-80.744650000000007</v>
      </c>
      <c r="N302" s="22">
        <f t="shared" si="95"/>
        <v>0.27537022553484675</v>
      </c>
      <c r="O302" s="22">
        <f t="shared" si="96"/>
        <v>0.44929381935555995</v>
      </c>
      <c r="P302" s="22">
        <f t="shared" si="83"/>
        <v>0.27537022553484675</v>
      </c>
      <c r="Q302">
        <v>21.89</v>
      </c>
      <c r="R302">
        <v>13.67</v>
      </c>
      <c r="S302">
        <v>20.9</v>
      </c>
      <c r="T302" s="1">
        <v>18</v>
      </c>
      <c r="U302" s="47">
        <v>1</v>
      </c>
      <c r="V302">
        <v>2233</v>
      </c>
      <c r="W302" s="30">
        <v>20</v>
      </c>
      <c r="X302" s="30">
        <v>1.02</v>
      </c>
      <c r="Y302" s="30">
        <v>1050</v>
      </c>
      <c r="Z302" s="28">
        <f t="shared" si="85"/>
        <v>0</v>
      </c>
      <c r="AA302" s="28">
        <f t="shared" si="86"/>
        <v>46.75</v>
      </c>
      <c r="AB302" s="28">
        <f t="shared" si="87"/>
        <v>1.5</v>
      </c>
      <c r="AC302" s="28">
        <f t="shared" si="88"/>
        <v>0</v>
      </c>
      <c r="AD302" s="28">
        <f t="shared" si="89"/>
        <v>3.85</v>
      </c>
      <c r="AE302" s="28">
        <f t="shared" si="78"/>
        <v>0</v>
      </c>
      <c r="AF302" s="28">
        <f t="shared" si="79"/>
        <v>0.89047619047619042</v>
      </c>
      <c r="AG302" s="28">
        <f t="shared" si="80"/>
        <v>2.8571428571428571E-2</v>
      </c>
      <c r="AH302" s="28">
        <f t="shared" si="81"/>
        <v>0</v>
      </c>
      <c r="AI302" s="28">
        <f t="shared" si="82"/>
        <v>7.3333333333333334E-2</v>
      </c>
      <c r="AJ302" s="30">
        <v>0</v>
      </c>
      <c r="AK302" s="30">
        <v>935</v>
      </c>
      <c r="AL302" s="30">
        <v>30</v>
      </c>
      <c r="AM302" s="30">
        <v>0</v>
      </c>
      <c r="AN302" s="30">
        <v>77</v>
      </c>
      <c r="AO302" s="22">
        <f t="shared" si="90"/>
        <v>0</v>
      </c>
      <c r="AP302" s="22">
        <f t="shared" si="91"/>
        <v>6.8416154764775916</v>
      </c>
      <c r="AQ302" s="22">
        <f t="shared" si="92"/>
        <v>3.4339872044851463</v>
      </c>
      <c r="AR302" s="22">
        <f t="shared" si="93"/>
        <v>0</v>
      </c>
      <c r="AS302" s="22">
        <f t="shared" si="94"/>
        <v>4.3567088266895917</v>
      </c>
    </row>
    <row r="303" spans="1:45" x14ac:dyDescent="0.25">
      <c r="A303" s="1" t="s">
        <v>10</v>
      </c>
      <c r="B303" s="11">
        <v>42933</v>
      </c>
      <c r="C303">
        <v>198</v>
      </c>
      <c r="D303">
        <v>2017</v>
      </c>
      <c r="E303">
        <v>1003</v>
      </c>
      <c r="F303" s="1">
        <v>58100</v>
      </c>
      <c r="G303" s="44">
        <f t="shared" si="84"/>
        <v>1</v>
      </c>
      <c r="H303" s="6">
        <v>42.379333333333335</v>
      </c>
      <c r="I303" s="6">
        <v>-80.911833333333334</v>
      </c>
      <c r="J303">
        <v>42.632766666666669</v>
      </c>
      <c r="K303">
        <v>-81.01636666666667</v>
      </c>
      <c r="L303">
        <v>41.96221666666667</v>
      </c>
      <c r="M303">
        <v>-80.744650000000007</v>
      </c>
      <c r="N303" s="22">
        <f t="shared" si="95"/>
        <v>0.27414534871528085</v>
      </c>
      <c r="O303" s="22">
        <f t="shared" si="96"/>
        <v>0.4493735423403919</v>
      </c>
      <c r="P303" s="22">
        <f t="shared" si="83"/>
        <v>0.27414534871528085</v>
      </c>
      <c r="Q303">
        <v>22.53</v>
      </c>
      <c r="R303">
        <v>19.59</v>
      </c>
      <c r="S303">
        <v>20.7</v>
      </c>
      <c r="T303" s="1">
        <v>17</v>
      </c>
      <c r="U303" s="1">
        <v>1</v>
      </c>
      <c r="V303">
        <v>2316</v>
      </c>
      <c r="W303" s="30">
        <v>20</v>
      </c>
      <c r="X303" s="30">
        <v>1.1000000000000001</v>
      </c>
      <c r="Y303" s="30">
        <v>1373</v>
      </c>
      <c r="Z303" s="28">
        <f t="shared" si="85"/>
        <v>0</v>
      </c>
      <c r="AA303" s="28">
        <f t="shared" si="86"/>
        <v>64.849999999999994</v>
      </c>
      <c r="AB303" s="28">
        <f t="shared" si="87"/>
        <v>1.05</v>
      </c>
      <c r="AC303" s="28">
        <f t="shared" si="88"/>
        <v>0</v>
      </c>
      <c r="AD303" s="28">
        <f t="shared" si="89"/>
        <v>2.4500000000000002</v>
      </c>
      <c r="AE303" s="28">
        <f t="shared" si="78"/>
        <v>0</v>
      </c>
      <c r="AF303" s="28">
        <f t="shared" si="79"/>
        <v>0.94464675892206851</v>
      </c>
      <c r="AG303" s="28">
        <f t="shared" si="80"/>
        <v>1.529497450837582E-2</v>
      </c>
      <c r="AH303" s="28">
        <f t="shared" si="81"/>
        <v>0</v>
      </c>
      <c r="AI303" s="28">
        <f t="shared" si="82"/>
        <v>3.5688273852876914E-2</v>
      </c>
      <c r="AJ303" s="30">
        <v>0</v>
      </c>
      <c r="AK303" s="30">
        <v>1297</v>
      </c>
      <c r="AL303" s="30">
        <v>21</v>
      </c>
      <c r="AM303" s="30">
        <v>0</v>
      </c>
      <c r="AN303" s="30">
        <v>49</v>
      </c>
      <c r="AO303" s="22">
        <f t="shared" si="90"/>
        <v>0</v>
      </c>
      <c r="AP303" s="22">
        <f t="shared" si="91"/>
        <v>7.1685798972640349</v>
      </c>
      <c r="AQ303" s="22">
        <f t="shared" si="92"/>
        <v>3.0910424533583161</v>
      </c>
      <c r="AR303" s="22">
        <f t="shared" si="93"/>
        <v>0</v>
      </c>
      <c r="AS303" s="22">
        <f t="shared" si="94"/>
        <v>3.912023005428146</v>
      </c>
    </row>
    <row r="304" spans="1:45" x14ac:dyDescent="0.25">
      <c r="A304" s="1" t="s">
        <v>10</v>
      </c>
      <c r="B304" s="11">
        <v>42933</v>
      </c>
      <c r="C304">
        <v>198</v>
      </c>
      <c r="D304">
        <v>2017</v>
      </c>
      <c r="E304">
        <v>1004</v>
      </c>
      <c r="F304" s="1">
        <v>58100</v>
      </c>
      <c r="G304" s="44">
        <f t="shared" si="84"/>
        <v>1</v>
      </c>
      <c r="H304" s="6">
        <v>42.372500000000002</v>
      </c>
      <c r="I304" s="6">
        <v>-80.889499999999998</v>
      </c>
      <c r="J304">
        <v>42.632766666666669</v>
      </c>
      <c r="K304">
        <v>-81.01636666666667</v>
      </c>
      <c r="L304">
        <v>41.96221666666667</v>
      </c>
      <c r="M304">
        <v>-80.744650000000007</v>
      </c>
      <c r="N304" s="22">
        <f t="shared" si="95"/>
        <v>0.28954082421808858</v>
      </c>
      <c r="O304" s="22">
        <f t="shared" si="96"/>
        <v>0.43510221340635308</v>
      </c>
      <c r="P304" s="22">
        <f t="shared" si="83"/>
        <v>0.28954082421808858</v>
      </c>
      <c r="Q304">
        <v>21.55</v>
      </c>
      <c r="R304">
        <v>21.7</v>
      </c>
      <c r="S304">
        <v>20.8</v>
      </c>
      <c r="T304" s="1">
        <v>7</v>
      </c>
      <c r="U304" s="1">
        <v>0</v>
      </c>
      <c r="V304">
        <v>2400</v>
      </c>
      <c r="W304" s="30">
        <v>20</v>
      </c>
      <c r="X304" s="30">
        <v>1.05</v>
      </c>
      <c r="Y304" s="30">
        <v>323</v>
      </c>
      <c r="Z304" s="28">
        <f t="shared" si="85"/>
        <v>0</v>
      </c>
      <c r="AA304" s="28">
        <f t="shared" si="86"/>
        <v>15</v>
      </c>
      <c r="AB304" s="28">
        <f t="shared" si="87"/>
        <v>0</v>
      </c>
      <c r="AC304" s="28">
        <f t="shared" si="88"/>
        <v>0</v>
      </c>
      <c r="AD304" s="28">
        <f t="shared" si="89"/>
        <v>0.45</v>
      </c>
      <c r="AE304" s="28">
        <f t="shared" si="78"/>
        <v>0</v>
      </c>
      <c r="AF304" s="28">
        <f t="shared" si="79"/>
        <v>0.92879256965944268</v>
      </c>
      <c r="AG304" s="28">
        <f t="shared" si="80"/>
        <v>0</v>
      </c>
      <c r="AH304" s="28">
        <f t="shared" si="81"/>
        <v>0</v>
      </c>
      <c r="AI304" s="28">
        <f t="shared" si="82"/>
        <v>2.7863777089783281E-2</v>
      </c>
      <c r="AJ304" s="30">
        <v>0</v>
      </c>
      <c r="AK304" s="30">
        <v>300</v>
      </c>
      <c r="AL304" s="30">
        <v>0</v>
      </c>
      <c r="AM304" s="30">
        <v>0</v>
      </c>
      <c r="AN304" s="30">
        <v>9</v>
      </c>
      <c r="AO304" s="22">
        <f t="shared" si="90"/>
        <v>0</v>
      </c>
      <c r="AP304" s="22">
        <f t="shared" si="91"/>
        <v>5.7071102647488754</v>
      </c>
      <c r="AQ304" s="22">
        <f t="shared" si="92"/>
        <v>0</v>
      </c>
      <c r="AR304" s="22">
        <f t="shared" si="93"/>
        <v>0</v>
      </c>
      <c r="AS304" s="22">
        <f t="shared" si="94"/>
        <v>2.3025850929940459</v>
      </c>
    </row>
    <row r="305" spans="1:45" x14ac:dyDescent="0.25">
      <c r="A305" s="1" t="s">
        <v>10</v>
      </c>
      <c r="B305" s="11">
        <v>42934</v>
      </c>
      <c r="C305">
        <v>199</v>
      </c>
      <c r="D305">
        <v>2017</v>
      </c>
      <c r="E305">
        <v>1005</v>
      </c>
      <c r="F305" s="1">
        <v>58100</v>
      </c>
      <c r="G305" s="44">
        <f t="shared" si="84"/>
        <v>1</v>
      </c>
      <c r="H305" s="6">
        <v>42.546166666666664</v>
      </c>
      <c r="I305" s="6">
        <v>-80.978666666666669</v>
      </c>
      <c r="J305">
        <v>42.632766666666669</v>
      </c>
      <c r="K305">
        <v>-81.01636666666667</v>
      </c>
      <c r="L305">
        <v>41.96221666666667</v>
      </c>
      <c r="M305">
        <v>-80.744650000000007</v>
      </c>
      <c r="N305" s="22">
        <f t="shared" si="95"/>
        <v>9.4450251455466247E-2</v>
      </c>
      <c r="O305" s="22">
        <f t="shared" si="96"/>
        <v>0.6290957023996977</v>
      </c>
      <c r="P305" s="22">
        <f t="shared" si="83"/>
        <v>9.4450251455466247E-2</v>
      </c>
      <c r="Q305">
        <v>21.41</v>
      </c>
      <c r="R305">
        <v>11.04</v>
      </c>
      <c r="S305">
        <v>18.399999999999999</v>
      </c>
      <c r="T305" s="1">
        <v>14</v>
      </c>
      <c r="U305" s="1">
        <v>1</v>
      </c>
      <c r="V305">
        <v>2607</v>
      </c>
      <c r="W305" s="30">
        <v>20</v>
      </c>
      <c r="X305" s="30">
        <v>1.0900000000000001</v>
      </c>
      <c r="Y305" s="30">
        <v>316</v>
      </c>
      <c r="Z305" s="28">
        <f t="shared" si="85"/>
        <v>0.05</v>
      </c>
      <c r="AA305" s="28">
        <f t="shared" si="86"/>
        <v>11.65</v>
      </c>
      <c r="AB305" s="28">
        <f t="shared" si="87"/>
        <v>3.7</v>
      </c>
      <c r="AC305" s="28">
        <f t="shared" si="88"/>
        <v>0</v>
      </c>
      <c r="AD305" s="28">
        <f t="shared" si="89"/>
        <v>0.25</v>
      </c>
      <c r="AE305" s="28">
        <f t="shared" si="78"/>
        <v>3.1645569620253164E-3</v>
      </c>
      <c r="AF305" s="28">
        <f t="shared" si="79"/>
        <v>0.73734177215189878</v>
      </c>
      <c r="AG305" s="28">
        <f t="shared" si="80"/>
        <v>0.23417721518987342</v>
      </c>
      <c r="AH305" s="28">
        <f t="shared" si="81"/>
        <v>0</v>
      </c>
      <c r="AI305" s="28">
        <f t="shared" si="82"/>
        <v>1.5822784810126583E-2</v>
      </c>
      <c r="AJ305" s="30">
        <v>1</v>
      </c>
      <c r="AK305" s="30">
        <v>233</v>
      </c>
      <c r="AL305" s="30">
        <v>74</v>
      </c>
      <c r="AM305" s="30">
        <v>0</v>
      </c>
      <c r="AN305" s="30">
        <v>5</v>
      </c>
      <c r="AO305" s="22">
        <f t="shared" si="90"/>
        <v>0.69314718055994529</v>
      </c>
      <c r="AP305" s="22">
        <f t="shared" si="91"/>
        <v>5.4553211153577017</v>
      </c>
      <c r="AQ305" s="22">
        <f t="shared" si="92"/>
        <v>4.3174881135363101</v>
      </c>
      <c r="AR305" s="22">
        <f t="shared" si="93"/>
        <v>0</v>
      </c>
      <c r="AS305" s="22">
        <f t="shared" si="94"/>
        <v>1.791759469228055</v>
      </c>
    </row>
    <row r="306" spans="1:45" x14ac:dyDescent="0.25">
      <c r="A306" s="1" t="s">
        <v>10</v>
      </c>
      <c r="B306" s="11">
        <v>42934</v>
      </c>
      <c r="C306">
        <v>199</v>
      </c>
      <c r="D306">
        <v>2017</v>
      </c>
      <c r="E306">
        <v>1006</v>
      </c>
      <c r="F306" s="1">
        <v>58100</v>
      </c>
      <c r="G306" s="44">
        <f t="shared" si="84"/>
        <v>1</v>
      </c>
      <c r="H306" s="6">
        <v>42.530833333333334</v>
      </c>
      <c r="I306" s="6">
        <v>-80.968666666666664</v>
      </c>
      <c r="J306">
        <v>42.632766666666669</v>
      </c>
      <c r="K306">
        <v>-81.01636666666667</v>
      </c>
      <c r="L306">
        <v>41.96221666666667</v>
      </c>
      <c r="M306">
        <v>-80.744650000000007</v>
      </c>
      <c r="N306" s="22">
        <f t="shared" si="95"/>
        <v>0.11254196748078185</v>
      </c>
      <c r="O306" s="22">
        <f t="shared" si="96"/>
        <v>0.61115332000697475</v>
      </c>
      <c r="P306" s="22">
        <f t="shared" si="83"/>
        <v>0.11254196748078185</v>
      </c>
      <c r="Q306">
        <v>21.41</v>
      </c>
      <c r="R306">
        <v>14.78</v>
      </c>
      <c r="S306">
        <v>18.8</v>
      </c>
      <c r="T306" s="1">
        <v>12</v>
      </c>
      <c r="U306" s="1">
        <v>0</v>
      </c>
      <c r="V306">
        <v>2651</v>
      </c>
      <c r="W306" s="30">
        <v>20</v>
      </c>
      <c r="X306" s="30">
        <v>1.05</v>
      </c>
      <c r="Y306" s="30">
        <v>666</v>
      </c>
      <c r="Z306" s="28">
        <f t="shared" si="85"/>
        <v>0</v>
      </c>
      <c r="AA306" s="28">
        <f t="shared" si="86"/>
        <v>32.200000000000003</v>
      </c>
      <c r="AB306" s="28">
        <f t="shared" si="87"/>
        <v>0.4</v>
      </c>
      <c r="AC306" s="28">
        <f t="shared" si="88"/>
        <v>0</v>
      </c>
      <c r="AD306" s="28">
        <f t="shared" si="89"/>
        <v>0.3</v>
      </c>
      <c r="AE306" s="28">
        <f t="shared" si="78"/>
        <v>0</v>
      </c>
      <c r="AF306" s="28">
        <f t="shared" si="79"/>
        <v>0.96696696696696693</v>
      </c>
      <c r="AG306" s="28">
        <f t="shared" si="80"/>
        <v>1.2012012012012012E-2</v>
      </c>
      <c r="AH306" s="28">
        <f t="shared" si="81"/>
        <v>0</v>
      </c>
      <c r="AI306" s="28">
        <f t="shared" si="82"/>
        <v>9.0090090090090089E-3</v>
      </c>
      <c r="AJ306" s="30">
        <v>0</v>
      </c>
      <c r="AK306" s="30">
        <v>644</v>
      </c>
      <c r="AL306" s="30">
        <v>8</v>
      </c>
      <c r="AM306" s="30">
        <v>0</v>
      </c>
      <c r="AN306" s="30">
        <v>6</v>
      </c>
      <c r="AO306" s="22">
        <f t="shared" si="90"/>
        <v>0</v>
      </c>
      <c r="AP306" s="22">
        <f t="shared" si="91"/>
        <v>6.4692503167957724</v>
      </c>
      <c r="AQ306" s="22">
        <f t="shared" si="92"/>
        <v>2.1972245773362196</v>
      </c>
      <c r="AR306" s="22">
        <f t="shared" si="93"/>
        <v>0</v>
      </c>
      <c r="AS306" s="22">
        <f t="shared" si="94"/>
        <v>1.9459101490553132</v>
      </c>
    </row>
    <row r="307" spans="1:45" x14ac:dyDescent="0.25">
      <c r="A307" s="1" t="s">
        <v>10</v>
      </c>
      <c r="B307" s="11">
        <v>42934</v>
      </c>
      <c r="C307">
        <v>199</v>
      </c>
      <c r="D307">
        <v>2017</v>
      </c>
      <c r="E307">
        <v>1007</v>
      </c>
      <c r="F307" s="1">
        <v>58100</v>
      </c>
      <c r="G307" s="44">
        <f t="shared" si="84"/>
        <v>1</v>
      </c>
      <c r="H307" s="6">
        <v>42.543333333333337</v>
      </c>
      <c r="I307" s="6">
        <v>-80.974666666666664</v>
      </c>
      <c r="J307">
        <v>42.632766666666669</v>
      </c>
      <c r="K307">
        <v>-81.01636666666667</v>
      </c>
      <c r="L307">
        <v>41.96221666666667</v>
      </c>
      <c r="M307">
        <v>-80.744650000000007</v>
      </c>
      <c r="N307" s="22">
        <f t="shared" si="95"/>
        <v>9.8677307984720505E-2</v>
      </c>
      <c r="O307" s="22">
        <f t="shared" si="96"/>
        <v>0.62498339755726118</v>
      </c>
      <c r="P307" s="22">
        <f t="shared" si="83"/>
        <v>9.8677307984720505E-2</v>
      </c>
      <c r="Q307">
        <v>21.39</v>
      </c>
      <c r="R307">
        <v>18.41</v>
      </c>
      <c r="S307">
        <v>18.2</v>
      </c>
      <c r="T307" s="1">
        <v>10</v>
      </c>
      <c r="U307" s="1">
        <v>0</v>
      </c>
      <c r="V307">
        <v>2734</v>
      </c>
      <c r="W307" s="30">
        <v>20</v>
      </c>
      <c r="X307" s="30">
        <v>1.1299999999999999</v>
      </c>
      <c r="Y307" s="30">
        <v>680</v>
      </c>
      <c r="Z307" s="28">
        <f t="shared" si="85"/>
        <v>0</v>
      </c>
      <c r="AA307" s="28">
        <f t="shared" si="86"/>
        <v>33.450000000000003</v>
      </c>
      <c r="AB307" s="28">
        <f t="shared" si="87"/>
        <v>0.1</v>
      </c>
      <c r="AC307" s="28">
        <f t="shared" si="88"/>
        <v>0</v>
      </c>
      <c r="AD307" s="28">
        <f t="shared" si="89"/>
        <v>0.25</v>
      </c>
      <c r="AE307" s="28">
        <f t="shared" si="78"/>
        <v>0</v>
      </c>
      <c r="AF307" s="28">
        <f t="shared" si="79"/>
        <v>0.98382352941176465</v>
      </c>
      <c r="AG307" s="28">
        <f t="shared" si="80"/>
        <v>2.9411764705882353E-3</v>
      </c>
      <c r="AH307" s="28">
        <f t="shared" si="81"/>
        <v>0</v>
      </c>
      <c r="AI307" s="28">
        <f t="shared" si="82"/>
        <v>7.3529411764705881E-3</v>
      </c>
      <c r="AJ307" s="30">
        <v>0</v>
      </c>
      <c r="AK307" s="30">
        <v>669</v>
      </c>
      <c r="AL307" s="30">
        <v>2</v>
      </c>
      <c r="AM307" s="30">
        <v>0</v>
      </c>
      <c r="AN307" s="30">
        <v>5</v>
      </c>
      <c r="AO307" s="22">
        <f t="shared" si="90"/>
        <v>0</v>
      </c>
      <c r="AP307" s="22">
        <f t="shared" si="91"/>
        <v>6.5072777123850116</v>
      </c>
      <c r="AQ307" s="22">
        <f t="shared" si="92"/>
        <v>1.0986122886681098</v>
      </c>
      <c r="AR307" s="22">
        <f t="shared" si="93"/>
        <v>0</v>
      </c>
      <c r="AS307" s="22">
        <f t="shared" si="94"/>
        <v>1.791759469228055</v>
      </c>
    </row>
    <row r="308" spans="1:45" x14ac:dyDescent="0.25">
      <c r="A308" s="1" t="s">
        <v>10</v>
      </c>
      <c r="B308" s="11">
        <v>42934</v>
      </c>
      <c r="C308">
        <v>199</v>
      </c>
      <c r="D308">
        <v>2017</v>
      </c>
      <c r="E308">
        <v>1008</v>
      </c>
      <c r="F308" s="1">
        <v>58100</v>
      </c>
      <c r="G308" s="44">
        <f t="shared" si="84"/>
        <v>1</v>
      </c>
      <c r="H308" s="6">
        <v>42.62766666666667</v>
      </c>
      <c r="I308" s="6">
        <v>-81.007499999999993</v>
      </c>
      <c r="J308">
        <v>42.632766666666669</v>
      </c>
      <c r="K308">
        <v>-81.01636666666667</v>
      </c>
      <c r="L308">
        <v>41.96221666666667</v>
      </c>
      <c r="M308">
        <v>-80.744650000000007</v>
      </c>
      <c r="N308" s="22">
        <f t="shared" si="95"/>
        <v>1.0228772056212067E-2</v>
      </c>
      <c r="O308" s="22">
        <f t="shared" si="96"/>
        <v>0.71548153365407863</v>
      </c>
      <c r="P308" s="22">
        <f t="shared" si="83"/>
        <v>1.0228772056212067E-2</v>
      </c>
      <c r="Q308">
        <v>20.64</v>
      </c>
      <c r="R308">
        <v>14.6</v>
      </c>
      <c r="S308">
        <v>13.2</v>
      </c>
      <c r="T308" s="1">
        <v>8</v>
      </c>
      <c r="U308" s="1">
        <v>0</v>
      </c>
      <c r="V308">
        <v>2904</v>
      </c>
      <c r="W308" s="30">
        <v>20</v>
      </c>
      <c r="X308" s="30">
        <v>1.0900000000000001</v>
      </c>
      <c r="Y308" s="30">
        <v>595</v>
      </c>
      <c r="Z308" s="28">
        <f t="shared" si="85"/>
        <v>0.05</v>
      </c>
      <c r="AA308" s="28">
        <f t="shared" si="86"/>
        <v>27.3</v>
      </c>
      <c r="AB308" s="28">
        <f t="shared" si="87"/>
        <v>2</v>
      </c>
      <c r="AC308" s="28">
        <f t="shared" si="88"/>
        <v>0</v>
      </c>
      <c r="AD308" s="28">
        <f t="shared" si="89"/>
        <v>0.1</v>
      </c>
      <c r="AE308" s="28">
        <f t="shared" si="78"/>
        <v>1.6806722689075631E-3</v>
      </c>
      <c r="AF308" s="28">
        <f t="shared" si="79"/>
        <v>0.91764705882352937</v>
      </c>
      <c r="AG308" s="28">
        <f t="shared" si="80"/>
        <v>6.7226890756302518E-2</v>
      </c>
      <c r="AH308" s="28">
        <f t="shared" si="81"/>
        <v>0</v>
      </c>
      <c r="AI308" s="28">
        <f t="shared" si="82"/>
        <v>3.3613445378151263E-3</v>
      </c>
      <c r="AJ308" s="30">
        <v>1</v>
      </c>
      <c r="AK308" s="30">
        <v>546</v>
      </c>
      <c r="AL308" s="30">
        <v>40</v>
      </c>
      <c r="AM308" s="30">
        <v>0</v>
      </c>
      <c r="AN308" s="30">
        <v>2</v>
      </c>
      <c r="AO308" s="22">
        <f t="shared" si="90"/>
        <v>0.69314718055994529</v>
      </c>
      <c r="AP308" s="22">
        <f t="shared" si="91"/>
        <v>6.3044488024219811</v>
      </c>
      <c r="AQ308" s="22">
        <f t="shared" si="92"/>
        <v>3.713572066704308</v>
      </c>
      <c r="AR308" s="22">
        <f t="shared" si="93"/>
        <v>0</v>
      </c>
      <c r="AS308" s="22">
        <f t="shared" si="94"/>
        <v>1.0986122886681098</v>
      </c>
    </row>
    <row r="309" spans="1:45" x14ac:dyDescent="0.25">
      <c r="A309" s="1" t="s">
        <v>10</v>
      </c>
      <c r="B309" s="11">
        <v>42934</v>
      </c>
      <c r="C309">
        <v>199</v>
      </c>
      <c r="D309">
        <v>2017</v>
      </c>
      <c r="E309">
        <v>1009</v>
      </c>
      <c r="F309" s="1">
        <v>58100</v>
      </c>
      <c r="G309" s="44">
        <f t="shared" si="84"/>
        <v>1</v>
      </c>
      <c r="H309" s="6">
        <v>42.606000000000002</v>
      </c>
      <c r="I309" s="6">
        <v>-80.99933333333334</v>
      </c>
      <c r="J309">
        <v>42.632766666666669</v>
      </c>
      <c r="K309">
        <v>-81.01636666666667</v>
      </c>
      <c r="L309">
        <v>41.96221666666667</v>
      </c>
      <c r="M309">
        <v>-80.744650000000007</v>
      </c>
      <c r="N309" s="22">
        <f t="shared" si="95"/>
        <v>3.172678503865161E-2</v>
      </c>
      <c r="O309" s="22">
        <f t="shared" si="96"/>
        <v>0.69232982064587756</v>
      </c>
      <c r="P309" s="22">
        <f t="shared" si="83"/>
        <v>3.172678503865161E-2</v>
      </c>
      <c r="Q309">
        <v>20.94</v>
      </c>
      <c r="R309">
        <v>20.56</v>
      </c>
      <c r="S309">
        <v>15.2</v>
      </c>
      <c r="T309" s="1">
        <v>5</v>
      </c>
      <c r="U309" s="1">
        <v>0</v>
      </c>
      <c r="V309">
        <v>2935</v>
      </c>
      <c r="W309" s="30">
        <v>20</v>
      </c>
      <c r="X309" s="30">
        <v>1.05</v>
      </c>
      <c r="Y309" s="30">
        <v>347</v>
      </c>
      <c r="Z309" s="28">
        <f t="shared" si="85"/>
        <v>0</v>
      </c>
      <c r="AA309" s="28">
        <f t="shared" si="86"/>
        <v>17</v>
      </c>
      <c r="AB309" s="28">
        <f t="shared" si="87"/>
        <v>0</v>
      </c>
      <c r="AC309" s="28">
        <f t="shared" si="88"/>
        <v>0</v>
      </c>
      <c r="AD309" s="28">
        <f t="shared" si="89"/>
        <v>0.25</v>
      </c>
      <c r="AE309" s="28">
        <f t="shared" si="78"/>
        <v>0</v>
      </c>
      <c r="AF309" s="28">
        <f t="shared" si="79"/>
        <v>0.97982708933717577</v>
      </c>
      <c r="AG309" s="28">
        <f t="shared" si="80"/>
        <v>0</v>
      </c>
      <c r="AH309" s="28">
        <f t="shared" si="81"/>
        <v>0</v>
      </c>
      <c r="AI309" s="28">
        <f t="shared" si="82"/>
        <v>1.4409221902017291E-2</v>
      </c>
      <c r="AJ309" s="30">
        <v>0</v>
      </c>
      <c r="AK309" s="30">
        <v>340</v>
      </c>
      <c r="AL309" s="30">
        <v>0</v>
      </c>
      <c r="AM309" s="30">
        <v>0</v>
      </c>
      <c r="AN309" s="30">
        <v>5</v>
      </c>
      <c r="AO309" s="22">
        <f t="shared" si="90"/>
        <v>0</v>
      </c>
      <c r="AP309" s="22">
        <f t="shared" si="91"/>
        <v>5.8318824772835169</v>
      </c>
      <c r="AQ309" s="22">
        <f t="shared" si="92"/>
        <v>0</v>
      </c>
      <c r="AR309" s="22">
        <f t="shared" si="93"/>
        <v>0</v>
      </c>
      <c r="AS309" s="22">
        <f t="shared" si="94"/>
        <v>1.791759469228055</v>
      </c>
    </row>
    <row r="310" spans="1:45" x14ac:dyDescent="0.25">
      <c r="A310" s="1" t="s">
        <v>10</v>
      </c>
      <c r="B310" s="11">
        <v>42934</v>
      </c>
      <c r="C310">
        <v>199</v>
      </c>
      <c r="D310">
        <v>2017</v>
      </c>
      <c r="E310">
        <v>2001</v>
      </c>
      <c r="F310" s="1">
        <v>57850</v>
      </c>
      <c r="G310" s="44">
        <f t="shared" si="84"/>
        <v>1</v>
      </c>
      <c r="H310" s="6">
        <v>42.56216666666667</v>
      </c>
      <c r="I310" s="6">
        <v>-81.469666666666669</v>
      </c>
      <c r="J310">
        <v>42.566916666666664</v>
      </c>
      <c r="K310">
        <v>-81.47208333333333</v>
      </c>
      <c r="L310">
        <v>41.819366666666667</v>
      </c>
      <c r="M310">
        <v>-81.155166666666673</v>
      </c>
      <c r="N310" s="22">
        <f t="shared" si="95"/>
        <v>5.3294256517657582E-3</v>
      </c>
      <c r="O310" s="22">
        <f t="shared" si="96"/>
        <v>0.80663628110815899</v>
      </c>
      <c r="P310" s="22">
        <f t="shared" si="83"/>
        <v>5.3294256517657582E-3</v>
      </c>
      <c r="Q310">
        <v>21.57</v>
      </c>
      <c r="R310">
        <v>13.98</v>
      </c>
      <c r="S310">
        <v>12.5</v>
      </c>
      <c r="T310" s="1">
        <v>8</v>
      </c>
      <c r="U310" s="1">
        <v>0</v>
      </c>
      <c r="V310">
        <v>2143</v>
      </c>
      <c r="W310" s="30">
        <v>20</v>
      </c>
      <c r="X310" s="30">
        <v>1.1200000000000001</v>
      </c>
      <c r="Y310" s="30">
        <v>201</v>
      </c>
      <c r="Z310" s="28">
        <f t="shared" si="85"/>
        <v>0</v>
      </c>
      <c r="AA310" s="28">
        <f t="shared" si="86"/>
        <v>8</v>
      </c>
      <c r="AB310" s="28">
        <f t="shared" si="87"/>
        <v>1.55</v>
      </c>
      <c r="AC310" s="28">
        <f t="shared" si="88"/>
        <v>0</v>
      </c>
      <c r="AD310" s="28">
        <f t="shared" si="89"/>
        <v>0.2</v>
      </c>
      <c r="AE310" s="28">
        <f t="shared" si="78"/>
        <v>0</v>
      </c>
      <c r="AF310" s="28">
        <f t="shared" si="79"/>
        <v>0.79601990049751248</v>
      </c>
      <c r="AG310" s="28">
        <f t="shared" si="80"/>
        <v>0.15422885572139303</v>
      </c>
      <c r="AH310" s="28">
        <f t="shared" si="81"/>
        <v>0</v>
      </c>
      <c r="AI310" s="28">
        <f t="shared" si="82"/>
        <v>1.9900497512437811E-2</v>
      </c>
      <c r="AJ310" s="30">
        <v>0</v>
      </c>
      <c r="AK310" s="30">
        <v>160</v>
      </c>
      <c r="AL310" s="30">
        <v>31</v>
      </c>
      <c r="AM310" s="30">
        <v>0</v>
      </c>
      <c r="AN310" s="30">
        <v>4</v>
      </c>
      <c r="AO310" s="22">
        <f t="shared" si="90"/>
        <v>0</v>
      </c>
      <c r="AP310" s="22">
        <f t="shared" si="91"/>
        <v>5.0814043649844631</v>
      </c>
      <c r="AQ310" s="22">
        <f t="shared" si="92"/>
        <v>3.4657359027997265</v>
      </c>
      <c r="AR310" s="22">
        <f t="shared" si="93"/>
        <v>0</v>
      </c>
      <c r="AS310" s="22">
        <f t="shared" si="94"/>
        <v>1.6094379124341003</v>
      </c>
    </row>
    <row r="311" spans="1:45" x14ac:dyDescent="0.25">
      <c r="A311" s="1" t="s">
        <v>10</v>
      </c>
      <c r="B311" s="11">
        <v>42934</v>
      </c>
      <c r="C311">
        <v>199</v>
      </c>
      <c r="D311">
        <v>2017</v>
      </c>
      <c r="E311">
        <v>2002</v>
      </c>
      <c r="F311" s="1">
        <v>57850</v>
      </c>
      <c r="G311" s="44">
        <f t="shared" si="84"/>
        <v>1</v>
      </c>
      <c r="H311" s="6">
        <v>42.544833333333337</v>
      </c>
      <c r="I311" s="6">
        <v>-81.459333333333333</v>
      </c>
      <c r="J311">
        <v>42.566916666666664</v>
      </c>
      <c r="K311">
        <v>-81.47208333333333</v>
      </c>
      <c r="L311">
        <v>41.819366666666667</v>
      </c>
      <c r="M311">
        <v>-81.155166666666673</v>
      </c>
      <c r="N311" s="22">
        <f t="shared" si="95"/>
        <v>2.5499727667384477E-2</v>
      </c>
      <c r="O311" s="22">
        <f t="shared" si="96"/>
        <v>0.78665065026068304</v>
      </c>
      <c r="P311" s="22">
        <f t="shared" si="83"/>
        <v>2.5499727667384477E-2</v>
      </c>
      <c r="Q311">
        <v>20.57</v>
      </c>
      <c r="R311">
        <v>17.690000000000001</v>
      </c>
      <c r="S311">
        <v>15.4</v>
      </c>
      <c r="T311" s="1">
        <v>5</v>
      </c>
      <c r="U311" s="1">
        <v>0</v>
      </c>
      <c r="V311">
        <v>2222</v>
      </c>
      <c r="W311" s="30">
        <v>20</v>
      </c>
      <c r="X311" s="30">
        <v>1.1399999999999999</v>
      </c>
      <c r="Y311" s="30">
        <v>229</v>
      </c>
      <c r="Z311" s="28">
        <f t="shared" si="85"/>
        <v>0.05</v>
      </c>
      <c r="AA311" s="28">
        <f t="shared" si="86"/>
        <v>11.05</v>
      </c>
      <c r="AB311" s="28">
        <f t="shared" si="87"/>
        <v>0.1</v>
      </c>
      <c r="AC311" s="28">
        <f t="shared" si="88"/>
        <v>0</v>
      </c>
      <c r="AD311" s="28">
        <f t="shared" si="89"/>
        <v>0.05</v>
      </c>
      <c r="AE311" s="28">
        <f t="shared" ref="AE311:AE374" si="97">AJ311/$Y311</f>
        <v>4.3668122270742356E-3</v>
      </c>
      <c r="AF311" s="28">
        <f t="shared" ref="AF311:AF374" si="98">AK311/$Y311</f>
        <v>0.96506550218340614</v>
      </c>
      <c r="AG311" s="28">
        <f t="shared" ref="AG311:AG374" si="99">AL311/$Y311</f>
        <v>8.7336244541484712E-3</v>
      </c>
      <c r="AH311" s="28">
        <f t="shared" ref="AH311:AH374" si="100">AM311/$Y311</f>
        <v>0</v>
      </c>
      <c r="AI311" s="28">
        <f t="shared" ref="AI311:AI374" si="101">AN311/$Y311</f>
        <v>4.3668122270742356E-3</v>
      </c>
      <c r="AJ311" s="30">
        <v>1</v>
      </c>
      <c r="AK311" s="30">
        <v>221</v>
      </c>
      <c r="AL311" s="30">
        <v>2</v>
      </c>
      <c r="AM311" s="30">
        <v>0</v>
      </c>
      <c r="AN311" s="30">
        <v>1</v>
      </c>
      <c r="AO311" s="22">
        <f t="shared" si="90"/>
        <v>0.69314718055994529</v>
      </c>
      <c r="AP311" s="22">
        <f t="shared" si="91"/>
        <v>5.4026773818722793</v>
      </c>
      <c r="AQ311" s="22">
        <f t="shared" si="92"/>
        <v>1.0986122886681098</v>
      </c>
      <c r="AR311" s="22">
        <f t="shared" si="93"/>
        <v>0</v>
      </c>
      <c r="AS311" s="22">
        <f t="shared" si="94"/>
        <v>0.69314718055994529</v>
      </c>
    </row>
    <row r="312" spans="1:45" x14ac:dyDescent="0.25">
      <c r="A312" s="1" t="s">
        <v>10</v>
      </c>
      <c r="B312" s="11">
        <v>42934</v>
      </c>
      <c r="C312">
        <v>199</v>
      </c>
      <c r="D312">
        <v>2017</v>
      </c>
      <c r="E312">
        <v>2003</v>
      </c>
      <c r="F312" s="1">
        <v>57850</v>
      </c>
      <c r="G312" s="44">
        <f t="shared" si="84"/>
        <v>1</v>
      </c>
      <c r="H312" s="6">
        <v>42.475666666666669</v>
      </c>
      <c r="I312" s="6">
        <v>-81.430666666666667</v>
      </c>
      <c r="J312">
        <v>42.566916666666664</v>
      </c>
      <c r="K312">
        <v>-81.47208333333333</v>
      </c>
      <c r="L312">
        <v>41.819366666666667</v>
      </c>
      <c r="M312">
        <v>-81.155166666666673</v>
      </c>
      <c r="N312" s="22">
        <f t="shared" si="95"/>
        <v>0.10020929486717586</v>
      </c>
      <c r="O312" s="22">
        <f t="shared" si="96"/>
        <v>0.71177941807838108</v>
      </c>
      <c r="P312" s="22">
        <f t="shared" si="83"/>
        <v>0.10020929486717586</v>
      </c>
      <c r="Q312">
        <v>23.12</v>
      </c>
      <c r="R312">
        <v>12.74</v>
      </c>
      <c r="S312">
        <v>20.399999999999999</v>
      </c>
      <c r="T312" s="1">
        <v>13</v>
      </c>
      <c r="U312" s="1">
        <v>0</v>
      </c>
      <c r="V312">
        <v>2347</v>
      </c>
      <c r="W312" s="30">
        <v>20</v>
      </c>
      <c r="X312" s="30">
        <v>1.1299999999999999</v>
      </c>
      <c r="Y312" s="30">
        <v>951</v>
      </c>
      <c r="Z312" s="28">
        <f t="shared" si="85"/>
        <v>0.25</v>
      </c>
      <c r="AA312" s="28">
        <f t="shared" si="86"/>
        <v>45.2</v>
      </c>
      <c r="AB312" s="28">
        <f t="shared" si="87"/>
        <v>0.85</v>
      </c>
      <c r="AC312" s="28">
        <f t="shared" si="88"/>
        <v>0</v>
      </c>
      <c r="AD312" s="28">
        <f t="shared" si="89"/>
        <v>1.1000000000000001</v>
      </c>
      <c r="AE312" s="28">
        <f t="shared" si="97"/>
        <v>5.2576235541535229E-3</v>
      </c>
      <c r="AF312" s="28">
        <f t="shared" si="98"/>
        <v>0.95057833859095686</v>
      </c>
      <c r="AG312" s="28">
        <f t="shared" si="99"/>
        <v>1.7875920084121977E-2</v>
      </c>
      <c r="AH312" s="28">
        <f t="shared" si="100"/>
        <v>0</v>
      </c>
      <c r="AI312" s="28">
        <f t="shared" si="101"/>
        <v>2.3133543638275498E-2</v>
      </c>
      <c r="AJ312" s="30">
        <v>5</v>
      </c>
      <c r="AK312" s="30">
        <v>904</v>
      </c>
      <c r="AL312" s="30">
        <v>17</v>
      </c>
      <c r="AM312" s="30">
        <v>0</v>
      </c>
      <c r="AN312" s="30">
        <v>22</v>
      </c>
      <c r="AO312" s="22">
        <f t="shared" si="90"/>
        <v>1.791759469228055</v>
      </c>
      <c r="AP312" s="22">
        <f t="shared" si="91"/>
        <v>6.8079349436999257</v>
      </c>
      <c r="AQ312" s="22">
        <f t="shared" si="92"/>
        <v>2.8903717578961645</v>
      </c>
      <c r="AR312" s="22">
        <f t="shared" si="93"/>
        <v>0</v>
      </c>
      <c r="AS312" s="22">
        <f t="shared" si="94"/>
        <v>3.1354942159291497</v>
      </c>
    </row>
    <row r="313" spans="1:45" x14ac:dyDescent="0.25">
      <c r="A313" s="1" t="s">
        <v>10</v>
      </c>
      <c r="B313" s="11">
        <v>42934</v>
      </c>
      <c r="C313">
        <v>199</v>
      </c>
      <c r="D313">
        <v>2017</v>
      </c>
      <c r="E313">
        <v>2004</v>
      </c>
      <c r="F313" s="1">
        <v>57850</v>
      </c>
      <c r="G313" s="44">
        <f t="shared" si="84"/>
        <v>1</v>
      </c>
      <c r="H313" s="6">
        <v>42.47</v>
      </c>
      <c r="I313" s="6">
        <v>-81.430166666666665</v>
      </c>
      <c r="J313">
        <v>42.566916666666664</v>
      </c>
      <c r="K313">
        <v>-81.47208333333333</v>
      </c>
      <c r="L313">
        <v>41.819366666666667</v>
      </c>
      <c r="M313">
        <v>-81.155166666666673</v>
      </c>
      <c r="N313" s="22">
        <f t="shared" si="95"/>
        <v>0.10559283698348976</v>
      </c>
      <c r="O313" s="22">
        <f t="shared" si="96"/>
        <v>0.7063630330392705</v>
      </c>
      <c r="P313" s="22">
        <f t="shared" si="83"/>
        <v>0.10559283698348976</v>
      </c>
      <c r="Q313">
        <v>22.9</v>
      </c>
      <c r="R313">
        <v>17.14</v>
      </c>
      <c r="S313">
        <v>20.6</v>
      </c>
      <c r="T313" s="1">
        <v>10</v>
      </c>
      <c r="U313" s="1">
        <v>0</v>
      </c>
      <c r="V313">
        <v>2432</v>
      </c>
      <c r="W313" s="30">
        <v>20</v>
      </c>
      <c r="X313" s="30">
        <v>1.06</v>
      </c>
      <c r="Y313" s="30">
        <v>1300</v>
      </c>
      <c r="Z313" s="28">
        <f t="shared" si="85"/>
        <v>0.8</v>
      </c>
      <c r="AA313" s="28">
        <f t="shared" si="86"/>
        <v>63.2</v>
      </c>
      <c r="AB313" s="28">
        <f t="shared" si="87"/>
        <v>0.05</v>
      </c>
      <c r="AC313" s="28">
        <f t="shared" si="88"/>
        <v>0</v>
      </c>
      <c r="AD313" s="28">
        <f t="shared" si="89"/>
        <v>0.4</v>
      </c>
      <c r="AE313" s="28">
        <f t="shared" si="97"/>
        <v>1.2307692307692308E-2</v>
      </c>
      <c r="AF313" s="28">
        <f t="shared" si="98"/>
        <v>0.97230769230769232</v>
      </c>
      <c r="AG313" s="28">
        <f t="shared" si="99"/>
        <v>7.6923076923076923E-4</v>
      </c>
      <c r="AH313" s="28">
        <f t="shared" si="100"/>
        <v>0</v>
      </c>
      <c r="AI313" s="28">
        <f t="shared" si="101"/>
        <v>6.1538461538461538E-3</v>
      </c>
      <c r="AJ313" s="30">
        <v>16</v>
      </c>
      <c r="AK313" s="30">
        <v>1264</v>
      </c>
      <c r="AL313" s="30">
        <v>1</v>
      </c>
      <c r="AM313" s="30">
        <v>0</v>
      </c>
      <c r="AN313" s="30">
        <v>8</v>
      </c>
      <c r="AO313" s="22">
        <f t="shared" si="90"/>
        <v>2.8332133440562162</v>
      </c>
      <c r="AP313" s="22">
        <f t="shared" si="91"/>
        <v>7.1428274011616208</v>
      </c>
      <c r="AQ313" s="22">
        <f t="shared" si="92"/>
        <v>0.69314718055994529</v>
      </c>
      <c r="AR313" s="22">
        <f t="shared" si="93"/>
        <v>0</v>
      </c>
      <c r="AS313" s="22">
        <f t="shared" si="94"/>
        <v>2.1972245773362196</v>
      </c>
    </row>
    <row r="314" spans="1:45" x14ac:dyDescent="0.25">
      <c r="A314" s="1" t="s">
        <v>10</v>
      </c>
      <c r="B314" s="11">
        <v>42935</v>
      </c>
      <c r="C314">
        <v>200</v>
      </c>
      <c r="D314">
        <v>2017</v>
      </c>
      <c r="E314">
        <v>2005</v>
      </c>
      <c r="F314" s="1">
        <v>57850</v>
      </c>
      <c r="G314" s="44">
        <f t="shared" si="84"/>
        <v>1</v>
      </c>
      <c r="H314" s="6">
        <v>42.490666666666669</v>
      </c>
      <c r="I314" s="6">
        <v>-81.436999999999998</v>
      </c>
      <c r="J314">
        <v>42.566916666666664</v>
      </c>
      <c r="K314">
        <v>-81.47208333333333</v>
      </c>
      <c r="L314">
        <v>41.819366666666667</v>
      </c>
      <c r="M314">
        <v>-81.155166666666673</v>
      </c>
      <c r="N314" s="22">
        <f t="shared" si="95"/>
        <v>8.3933919113651001E-2</v>
      </c>
      <c r="O314" s="22">
        <f t="shared" si="96"/>
        <v>0.72806161674529701</v>
      </c>
      <c r="P314" s="22">
        <f t="shared" si="83"/>
        <v>8.3933919113651001E-2</v>
      </c>
      <c r="Q314">
        <v>22.91</v>
      </c>
      <c r="R314">
        <v>22.82</v>
      </c>
      <c r="S314">
        <v>19</v>
      </c>
      <c r="T314" s="1">
        <v>5</v>
      </c>
      <c r="U314" s="1">
        <v>0</v>
      </c>
      <c r="V314">
        <v>2523</v>
      </c>
      <c r="W314" s="30">
        <v>20</v>
      </c>
      <c r="X314" s="30">
        <v>1.07</v>
      </c>
      <c r="Y314" s="30">
        <v>288</v>
      </c>
      <c r="Z314" s="28">
        <f t="shared" si="85"/>
        <v>1.2</v>
      </c>
      <c r="AA314" s="28">
        <f t="shared" si="86"/>
        <v>12.4</v>
      </c>
      <c r="AB314" s="28">
        <f t="shared" si="87"/>
        <v>0</v>
      </c>
      <c r="AC314" s="28">
        <f t="shared" si="88"/>
        <v>0</v>
      </c>
      <c r="AD314" s="28">
        <f t="shared" si="89"/>
        <v>0.05</v>
      </c>
      <c r="AE314" s="28">
        <f t="shared" si="97"/>
        <v>8.3333333333333329E-2</v>
      </c>
      <c r="AF314" s="28">
        <f t="shared" si="98"/>
        <v>0.86111111111111116</v>
      </c>
      <c r="AG314" s="28">
        <f t="shared" si="99"/>
        <v>0</v>
      </c>
      <c r="AH314" s="28">
        <f t="shared" si="100"/>
        <v>0</v>
      </c>
      <c r="AI314" s="28">
        <f t="shared" si="101"/>
        <v>3.472222222222222E-3</v>
      </c>
      <c r="AJ314" s="30">
        <v>24</v>
      </c>
      <c r="AK314" s="30">
        <v>248</v>
      </c>
      <c r="AL314" s="30">
        <v>0</v>
      </c>
      <c r="AM314" s="30">
        <v>0</v>
      </c>
      <c r="AN314" s="30">
        <v>1</v>
      </c>
      <c r="AO314" s="22">
        <f t="shared" si="90"/>
        <v>3.2188758248682006</v>
      </c>
      <c r="AP314" s="22">
        <f t="shared" si="91"/>
        <v>5.5174528964647074</v>
      </c>
      <c r="AQ314" s="22">
        <f t="shared" si="92"/>
        <v>0</v>
      </c>
      <c r="AR314" s="22">
        <f t="shared" si="93"/>
        <v>0</v>
      </c>
      <c r="AS314" s="22">
        <f t="shared" si="94"/>
        <v>0.69314718055994529</v>
      </c>
    </row>
    <row r="315" spans="1:45" x14ac:dyDescent="0.25">
      <c r="A315" s="1" t="s">
        <v>10</v>
      </c>
      <c r="B315" s="11">
        <v>42935</v>
      </c>
      <c r="C315">
        <v>200</v>
      </c>
      <c r="D315">
        <v>2017</v>
      </c>
      <c r="E315">
        <v>2006</v>
      </c>
      <c r="F315" s="1">
        <v>57850</v>
      </c>
      <c r="G315" s="44">
        <f t="shared" si="84"/>
        <v>1</v>
      </c>
      <c r="H315" s="6">
        <v>42.337333333333333</v>
      </c>
      <c r="I315" s="6">
        <v>-81.373166666666663</v>
      </c>
      <c r="J315">
        <v>42.566916666666664</v>
      </c>
      <c r="K315">
        <v>-81.47208333333333</v>
      </c>
      <c r="L315">
        <v>41.819366666666667</v>
      </c>
      <c r="M315">
        <v>-81.155166666666673</v>
      </c>
      <c r="N315" s="22">
        <f t="shared" si="95"/>
        <v>0.24998602738730782</v>
      </c>
      <c r="O315" s="22">
        <f t="shared" si="96"/>
        <v>0.56197283544471499</v>
      </c>
      <c r="P315" s="22">
        <f t="shared" si="83"/>
        <v>0.24998602738730782</v>
      </c>
      <c r="Q315">
        <v>22.29</v>
      </c>
      <c r="R315">
        <v>12.31</v>
      </c>
      <c r="S315">
        <v>22.5</v>
      </c>
      <c r="T315" s="1">
        <v>20</v>
      </c>
      <c r="U315" s="47">
        <v>1</v>
      </c>
      <c r="V315">
        <v>2722</v>
      </c>
      <c r="W315" s="30">
        <v>20</v>
      </c>
      <c r="X315" s="30">
        <v>1.0900000000000001</v>
      </c>
      <c r="Y315" s="30">
        <v>753</v>
      </c>
      <c r="Z315" s="28">
        <f t="shared" si="85"/>
        <v>0.1</v>
      </c>
      <c r="AA315" s="28">
        <f t="shared" si="86"/>
        <v>34.450000000000003</v>
      </c>
      <c r="AB315" s="28">
        <f t="shared" si="87"/>
        <v>1.1499999999999999</v>
      </c>
      <c r="AC315" s="28">
        <f t="shared" si="88"/>
        <v>0</v>
      </c>
      <c r="AD315" s="28">
        <f t="shared" si="89"/>
        <v>1.75</v>
      </c>
      <c r="AE315" s="28">
        <f t="shared" si="97"/>
        <v>2.6560424966799467E-3</v>
      </c>
      <c r="AF315" s="28">
        <f t="shared" si="98"/>
        <v>0.91500664010624166</v>
      </c>
      <c r="AG315" s="28">
        <f t="shared" si="99"/>
        <v>3.054448871181939E-2</v>
      </c>
      <c r="AH315" s="28">
        <f t="shared" si="100"/>
        <v>0</v>
      </c>
      <c r="AI315" s="28">
        <f t="shared" si="101"/>
        <v>4.6480743691899071E-2</v>
      </c>
      <c r="AJ315" s="30">
        <v>2</v>
      </c>
      <c r="AK315" s="30">
        <v>689</v>
      </c>
      <c r="AL315" s="30">
        <v>23</v>
      </c>
      <c r="AM315" s="30">
        <v>0</v>
      </c>
      <c r="AN315" s="30">
        <v>35</v>
      </c>
      <c r="AO315" s="22">
        <f t="shared" si="90"/>
        <v>1.0986122886681098</v>
      </c>
      <c r="AP315" s="22">
        <f t="shared" si="91"/>
        <v>6.5366915975913047</v>
      </c>
      <c r="AQ315" s="22">
        <f t="shared" si="92"/>
        <v>3.1780538303479458</v>
      </c>
      <c r="AR315" s="22">
        <f t="shared" si="93"/>
        <v>0</v>
      </c>
      <c r="AS315" s="22">
        <f t="shared" si="94"/>
        <v>3.5835189384561099</v>
      </c>
    </row>
    <row r="316" spans="1:45" x14ac:dyDescent="0.25">
      <c r="A316" s="1" t="s">
        <v>10</v>
      </c>
      <c r="B316" s="11">
        <v>42935</v>
      </c>
      <c r="C316">
        <v>200</v>
      </c>
      <c r="D316">
        <v>2017</v>
      </c>
      <c r="E316">
        <v>2007</v>
      </c>
      <c r="F316" s="1">
        <v>57850</v>
      </c>
      <c r="G316" s="44">
        <f t="shared" si="84"/>
        <v>1</v>
      </c>
      <c r="H316" s="6">
        <v>42.323833333333333</v>
      </c>
      <c r="I316" s="6">
        <v>-81.367000000000004</v>
      </c>
      <c r="J316">
        <v>42.566916666666664</v>
      </c>
      <c r="K316">
        <v>-81.47208333333333</v>
      </c>
      <c r="L316">
        <v>41.819366666666667</v>
      </c>
      <c r="M316">
        <v>-81.155166666666673</v>
      </c>
      <c r="N316" s="22">
        <f t="shared" si="95"/>
        <v>0.26482449639126332</v>
      </c>
      <c r="O316" s="22">
        <f t="shared" si="96"/>
        <v>0.54713798889209564</v>
      </c>
      <c r="P316" s="22">
        <f t="shared" si="83"/>
        <v>0.26482449639126332</v>
      </c>
      <c r="Q316">
        <v>23.23</v>
      </c>
      <c r="R316">
        <v>20.59</v>
      </c>
      <c r="S316">
        <v>22.5</v>
      </c>
      <c r="T316" s="1">
        <v>17</v>
      </c>
      <c r="U316" s="1">
        <v>1</v>
      </c>
      <c r="V316">
        <v>2805</v>
      </c>
      <c r="W316" s="30">
        <v>20</v>
      </c>
      <c r="X316" s="30">
        <v>1.08</v>
      </c>
      <c r="Y316" s="30">
        <v>550</v>
      </c>
      <c r="Z316" s="28">
        <f t="shared" si="85"/>
        <v>0.1</v>
      </c>
      <c r="AA316" s="28">
        <f t="shared" si="86"/>
        <v>25.4</v>
      </c>
      <c r="AB316" s="28">
        <f t="shared" si="87"/>
        <v>0.05</v>
      </c>
      <c r="AC316" s="28">
        <f t="shared" si="88"/>
        <v>0</v>
      </c>
      <c r="AD316" s="28">
        <f t="shared" si="89"/>
        <v>1.7</v>
      </c>
      <c r="AE316" s="28">
        <f t="shared" si="97"/>
        <v>3.6363636363636364E-3</v>
      </c>
      <c r="AF316" s="28">
        <f t="shared" si="98"/>
        <v>0.92363636363636359</v>
      </c>
      <c r="AG316" s="28">
        <f t="shared" si="99"/>
        <v>1.8181818181818182E-3</v>
      </c>
      <c r="AH316" s="28">
        <f t="shared" si="100"/>
        <v>0</v>
      </c>
      <c r="AI316" s="28">
        <f t="shared" si="101"/>
        <v>6.1818181818181821E-2</v>
      </c>
      <c r="AJ316" s="30">
        <v>2</v>
      </c>
      <c r="AK316" s="30">
        <v>508</v>
      </c>
      <c r="AL316" s="30">
        <v>1</v>
      </c>
      <c r="AM316" s="30">
        <v>0</v>
      </c>
      <c r="AN316" s="30">
        <v>34</v>
      </c>
      <c r="AO316" s="22">
        <f t="shared" si="90"/>
        <v>1.0986122886681098</v>
      </c>
      <c r="AP316" s="22">
        <f t="shared" si="91"/>
        <v>6.2324480165505225</v>
      </c>
      <c r="AQ316" s="22">
        <f t="shared" si="92"/>
        <v>0.69314718055994529</v>
      </c>
      <c r="AR316" s="22">
        <f t="shared" si="93"/>
        <v>0</v>
      </c>
      <c r="AS316" s="22">
        <f t="shared" si="94"/>
        <v>3.5553480614894135</v>
      </c>
    </row>
    <row r="317" spans="1:45" x14ac:dyDescent="0.25">
      <c r="A317" s="1" t="s">
        <v>10</v>
      </c>
      <c r="B317" s="11">
        <v>42935</v>
      </c>
      <c r="C317">
        <v>200</v>
      </c>
      <c r="D317">
        <v>2017</v>
      </c>
      <c r="E317">
        <v>2008</v>
      </c>
      <c r="F317" s="1">
        <v>57850</v>
      </c>
      <c r="G317" s="44">
        <f t="shared" si="84"/>
        <v>1</v>
      </c>
      <c r="H317" s="6">
        <v>42.343666666666664</v>
      </c>
      <c r="I317" s="6">
        <v>-81.373333333333335</v>
      </c>
      <c r="J317">
        <v>42.566916666666664</v>
      </c>
      <c r="K317">
        <v>-81.47208333333333</v>
      </c>
      <c r="L317">
        <v>41.819366666666667</v>
      </c>
      <c r="M317">
        <v>-81.155166666666673</v>
      </c>
      <c r="N317" s="22">
        <f t="shared" si="95"/>
        <v>0.24411498315342953</v>
      </c>
      <c r="O317" s="22">
        <f t="shared" si="96"/>
        <v>0.56787955100042009</v>
      </c>
      <c r="P317" s="22">
        <f t="shared" si="83"/>
        <v>0.24411498315342953</v>
      </c>
      <c r="Q317">
        <v>23.22</v>
      </c>
      <c r="R317">
        <v>22.39</v>
      </c>
      <c r="S317">
        <v>22.3</v>
      </c>
      <c r="T317" s="1">
        <v>10</v>
      </c>
      <c r="U317" s="1">
        <v>0</v>
      </c>
      <c r="V317">
        <v>2853</v>
      </c>
      <c r="W317" s="30">
        <v>20</v>
      </c>
      <c r="X317" s="30">
        <v>0.99</v>
      </c>
      <c r="Y317" s="30">
        <v>111</v>
      </c>
      <c r="Z317" s="28">
        <f t="shared" si="85"/>
        <v>0</v>
      </c>
      <c r="AA317" s="28">
        <f t="shared" si="86"/>
        <v>5.3</v>
      </c>
      <c r="AB317" s="28">
        <f t="shared" si="87"/>
        <v>0</v>
      </c>
      <c r="AC317" s="28">
        <f t="shared" si="88"/>
        <v>0</v>
      </c>
      <c r="AD317" s="28">
        <f t="shared" si="89"/>
        <v>0.1</v>
      </c>
      <c r="AE317" s="28">
        <f t="shared" si="97"/>
        <v>0</v>
      </c>
      <c r="AF317" s="28">
        <f t="shared" si="98"/>
        <v>0.95495495495495497</v>
      </c>
      <c r="AG317" s="28">
        <f t="shared" si="99"/>
        <v>0</v>
      </c>
      <c r="AH317" s="28">
        <f t="shared" si="100"/>
        <v>0</v>
      </c>
      <c r="AI317" s="28">
        <f t="shared" si="101"/>
        <v>1.8018018018018018E-2</v>
      </c>
      <c r="AJ317" s="30">
        <v>0</v>
      </c>
      <c r="AK317" s="30">
        <v>106</v>
      </c>
      <c r="AL317" s="30">
        <v>0</v>
      </c>
      <c r="AM317" s="30">
        <v>0</v>
      </c>
      <c r="AN317" s="30">
        <v>2</v>
      </c>
      <c r="AO317" s="22">
        <f t="shared" si="90"/>
        <v>0</v>
      </c>
      <c r="AP317" s="22">
        <f t="shared" si="91"/>
        <v>4.6728288344619058</v>
      </c>
      <c r="AQ317" s="22">
        <f t="shared" si="92"/>
        <v>0</v>
      </c>
      <c r="AR317" s="22">
        <f t="shared" si="93"/>
        <v>0</v>
      </c>
      <c r="AS317" s="22">
        <f t="shared" si="94"/>
        <v>1.0986122886681098</v>
      </c>
    </row>
    <row r="318" spans="1:45" x14ac:dyDescent="0.25">
      <c r="A318" s="1" t="s">
        <v>10</v>
      </c>
      <c r="B318" s="11">
        <v>42935</v>
      </c>
      <c r="C318">
        <v>200</v>
      </c>
      <c r="D318">
        <v>2017</v>
      </c>
      <c r="E318">
        <v>2009</v>
      </c>
      <c r="F318" s="1">
        <v>57850</v>
      </c>
      <c r="G318" s="44">
        <f t="shared" si="84"/>
        <v>1</v>
      </c>
      <c r="H318" s="6">
        <v>42.317999999999998</v>
      </c>
      <c r="I318" s="6">
        <v>-81.367166666666662</v>
      </c>
      <c r="J318">
        <v>42.566916666666664</v>
      </c>
      <c r="K318">
        <v>-81.47208333333333</v>
      </c>
      <c r="L318">
        <v>41.819366666666667</v>
      </c>
      <c r="M318">
        <v>-81.155166666666673</v>
      </c>
      <c r="N318" s="22">
        <f t="shared" si="95"/>
        <v>0.27012407128741589</v>
      </c>
      <c r="O318" s="22">
        <f t="shared" si="96"/>
        <v>0.54182949450090268</v>
      </c>
      <c r="P318" s="22">
        <f t="shared" si="83"/>
        <v>0.27012407128741589</v>
      </c>
      <c r="Q318">
        <v>23.26</v>
      </c>
      <c r="R318">
        <v>22.85</v>
      </c>
      <c r="S318">
        <v>22.5</v>
      </c>
      <c r="T318" s="1">
        <v>5</v>
      </c>
      <c r="U318" s="1">
        <v>0</v>
      </c>
      <c r="V318">
        <v>2936</v>
      </c>
      <c r="W318" s="30">
        <v>20</v>
      </c>
      <c r="X318" s="30">
        <v>0.95</v>
      </c>
      <c r="Y318" s="30">
        <v>44</v>
      </c>
      <c r="Z318" s="28">
        <f t="shared" si="85"/>
        <v>0</v>
      </c>
      <c r="AA318" s="28">
        <f t="shared" si="86"/>
        <v>1.95</v>
      </c>
      <c r="AB318" s="28">
        <f t="shared" si="87"/>
        <v>0</v>
      </c>
      <c r="AC318" s="28">
        <f t="shared" si="88"/>
        <v>0</v>
      </c>
      <c r="AD318" s="28">
        <f t="shared" si="89"/>
        <v>0.1</v>
      </c>
      <c r="AE318" s="28">
        <f t="shared" si="97"/>
        <v>0</v>
      </c>
      <c r="AF318" s="28">
        <f t="shared" si="98"/>
        <v>0.88636363636363635</v>
      </c>
      <c r="AG318" s="28">
        <f t="shared" si="99"/>
        <v>0</v>
      </c>
      <c r="AH318" s="28">
        <f t="shared" si="100"/>
        <v>0</v>
      </c>
      <c r="AI318" s="28">
        <f t="shared" si="101"/>
        <v>4.5454545454545456E-2</v>
      </c>
      <c r="AJ318" s="30">
        <v>0</v>
      </c>
      <c r="AK318" s="30">
        <v>39</v>
      </c>
      <c r="AL318" s="30">
        <v>0</v>
      </c>
      <c r="AM318" s="30">
        <v>0</v>
      </c>
      <c r="AN318" s="30">
        <v>2</v>
      </c>
      <c r="AO318" s="22">
        <f t="shared" si="90"/>
        <v>0</v>
      </c>
      <c r="AP318" s="22">
        <f t="shared" si="91"/>
        <v>3.6888794541139363</v>
      </c>
      <c r="AQ318" s="22">
        <f t="shared" si="92"/>
        <v>0</v>
      </c>
      <c r="AR318" s="22">
        <f t="shared" si="93"/>
        <v>0</v>
      </c>
      <c r="AS318" s="22">
        <f t="shared" si="94"/>
        <v>1.0986122886681098</v>
      </c>
    </row>
    <row r="319" spans="1:45" x14ac:dyDescent="0.25">
      <c r="A319" s="1" t="s">
        <v>10</v>
      </c>
      <c r="B319" s="11">
        <v>42935</v>
      </c>
      <c r="C319">
        <v>200</v>
      </c>
      <c r="D319">
        <v>2017</v>
      </c>
      <c r="E319">
        <v>3001</v>
      </c>
      <c r="F319" s="1">
        <v>57600</v>
      </c>
      <c r="G319" s="44">
        <f t="shared" si="84"/>
        <v>0</v>
      </c>
      <c r="H319" s="6">
        <v>42.066000000000003</v>
      </c>
      <c r="I319" s="6">
        <v>-81.739000000000004</v>
      </c>
      <c r="J319">
        <v>42.261233333333337</v>
      </c>
      <c r="K319">
        <v>-81.829883333333328</v>
      </c>
      <c r="L319">
        <v>41.621000000000002</v>
      </c>
      <c r="M319">
        <v>-81.539483333333337</v>
      </c>
      <c r="N319" s="22">
        <f t="shared" si="95"/>
        <v>0.21535049273735313</v>
      </c>
      <c r="O319" s="22">
        <f t="shared" si="96"/>
        <v>0.48768012085564699</v>
      </c>
      <c r="P319" s="22">
        <f t="shared" si="83"/>
        <v>0.21535049273735313</v>
      </c>
      <c r="Q319">
        <v>24.77</v>
      </c>
      <c r="R319">
        <v>10.58</v>
      </c>
      <c r="S319">
        <v>24.3</v>
      </c>
      <c r="T319" s="1">
        <v>20</v>
      </c>
      <c r="U319" s="47">
        <v>1</v>
      </c>
      <c r="V319">
        <v>2144</v>
      </c>
      <c r="W319" s="30">
        <v>20</v>
      </c>
      <c r="X319" s="30">
        <v>1.06</v>
      </c>
      <c r="Y319" s="30">
        <v>878</v>
      </c>
      <c r="Z319" s="28">
        <f t="shared" si="85"/>
        <v>0.1</v>
      </c>
      <c r="AA319" s="28">
        <f t="shared" si="86"/>
        <v>0.65</v>
      </c>
      <c r="AB319" s="28">
        <f t="shared" si="87"/>
        <v>41.45</v>
      </c>
      <c r="AC319" s="28">
        <f t="shared" si="88"/>
        <v>0</v>
      </c>
      <c r="AD319" s="28">
        <f t="shared" si="89"/>
        <v>0.75</v>
      </c>
      <c r="AE319" s="28">
        <f t="shared" si="97"/>
        <v>2.2779043280182231E-3</v>
      </c>
      <c r="AF319" s="28">
        <f t="shared" si="98"/>
        <v>1.4806378132118452E-2</v>
      </c>
      <c r="AG319" s="28">
        <f t="shared" si="99"/>
        <v>0.94419134396355353</v>
      </c>
      <c r="AH319" s="28">
        <f t="shared" si="100"/>
        <v>0</v>
      </c>
      <c r="AI319" s="28">
        <f t="shared" si="101"/>
        <v>1.7084282460136675E-2</v>
      </c>
      <c r="AJ319" s="30">
        <v>2</v>
      </c>
      <c r="AK319" s="30">
        <v>13</v>
      </c>
      <c r="AL319" s="30">
        <v>829</v>
      </c>
      <c r="AM319" s="30">
        <v>0</v>
      </c>
      <c r="AN319" s="30">
        <v>15</v>
      </c>
      <c r="AO319" s="22">
        <f t="shared" si="90"/>
        <v>1.0986122886681098</v>
      </c>
      <c r="AP319" s="22">
        <f t="shared" si="91"/>
        <v>2.6390573296152584</v>
      </c>
      <c r="AQ319" s="22">
        <f t="shared" si="92"/>
        <v>6.7214257007906433</v>
      </c>
      <c r="AR319" s="22">
        <f t="shared" si="93"/>
        <v>0</v>
      </c>
      <c r="AS319" s="22">
        <f t="shared" si="94"/>
        <v>2.7725887222397811</v>
      </c>
    </row>
    <row r="320" spans="1:45" x14ac:dyDescent="0.25">
      <c r="A320" s="1" t="s">
        <v>10</v>
      </c>
      <c r="B320" s="11">
        <v>42935</v>
      </c>
      <c r="C320">
        <v>200</v>
      </c>
      <c r="D320">
        <v>2017</v>
      </c>
      <c r="E320">
        <v>3002</v>
      </c>
      <c r="F320" s="1">
        <v>57600</v>
      </c>
      <c r="G320" s="44">
        <f t="shared" si="84"/>
        <v>0</v>
      </c>
      <c r="H320" s="6">
        <v>42.049333333333337</v>
      </c>
      <c r="I320" s="6">
        <v>-81.73</v>
      </c>
      <c r="J320">
        <v>42.261233333333337</v>
      </c>
      <c r="K320">
        <v>-81.829883333333328</v>
      </c>
      <c r="L320">
        <v>41.621000000000002</v>
      </c>
      <c r="M320">
        <v>-81.539483333333337</v>
      </c>
      <c r="N320" s="22">
        <f t="shared" si="95"/>
        <v>0.23426115827805483</v>
      </c>
      <c r="O320" s="22">
        <f t="shared" si="96"/>
        <v>0.46879211247868019</v>
      </c>
      <c r="P320" s="22">
        <f t="shared" si="83"/>
        <v>0.23426115827805483</v>
      </c>
      <c r="Q320">
        <v>24.52</v>
      </c>
      <c r="R320">
        <v>15.68</v>
      </c>
      <c r="S320">
        <v>24.4</v>
      </c>
      <c r="T320" s="1">
        <v>17</v>
      </c>
      <c r="U320" s="1">
        <v>1</v>
      </c>
      <c r="V320">
        <v>2230</v>
      </c>
      <c r="W320" s="30">
        <v>20</v>
      </c>
      <c r="X320" s="30">
        <v>1.04</v>
      </c>
      <c r="Y320" s="30">
        <v>182</v>
      </c>
      <c r="Z320" s="28">
        <f t="shared" si="85"/>
        <v>0.35</v>
      </c>
      <c r="AA320" s="28">
        <f t="shared" si="86"/>
        <v>3.95</v>
      </c>
      <c r="AB320" s="28">
        <f t="shared" si="87"/>
        <v>2.4</v>
      </c>
      <c r="AC320" s="28">
        <f t="shared" si="88"/>
        <v>0.2</v>
      </c>
      <c r="AD320" s="28">
        <f t="shared" si="89"/>
        <v>1.05</v>
      </c>
      <c r="AE320" s="28">
        <f t="shared" si="97"/>
        <v>3.8461538461538464E-2</v>
      </c>
      <c r="AF320" s="28">
        <f t="shared" si="98"/>
        <v>0.43406593406593408</v>
      </c>
      <c r="AG320" s="28">
        <f t="shared" si="99"/>
        <v>0.26373626373626374</v>
      </c>
      <c r="AH320" s="28">
        <f t="shared" si="100"/>
        <v>2.197802197802198E-2</v>
      </c>
      <c r="AI320" s="28">
        <f t="shared" si="101"/>
        <v>0.11538461538461539</v>
      </c>
      <c r="AJ320" s="30">
        <v>7</v>
      </c>
      <c r="AK320" s="30">
        <v>79</v>
      </c>
      <c r="AL320" s="30">
        <v>48</v>
      </c>
      <c r="AM320" s="30">
        <v>4</v>
      </c>
      <c r="AN320" s="30">
        <v>21</v>
      </c>
      <c r="AO320" s="22">
        <f t="shared" si="90"/>
        <v>2.0794415416798357</v>
      </c>
      <c r="AP320" s="22">
        <f t="shared" si="91"/>
        <v>4.3820266346738812</v>
      </c>
      <c r="AQ320" s="22">
        <f t="shared" si="92"/>
        <v>3.8918202981106265</v>
      </c>
      <c r="AR320" s="22">
        <f t="shared" si="93"/>
        <v>1.6094379124341003</v>
      </c>
      <c r="AS320" s="22">
        <f t="shared" si="94"/>
        <v>3.0910424533583161</v>
      </c>
    </row>
    <row r="321" spans="1:45" x14ac:dyDescent="0.25">
      <c r="A321" s="1" t="s">
        <v>10</v>
      </c>
      <c r="B321" s="11">
        <v>42935</v>
      </c>
      <c r="C321">
        <v>200</v>
      </c>
      <c r="D321">
        <v>2017</v>
      </c>
      <c r="E321">
        <v>3003</v>
      </c>
      <c r="F321" s="1">
        <v>57600</v>
      </c>
      <c r="G321" s="44">
        <f t="shared" si="84"/>
        <v>0</v>
      </c>
      <c r="H321" s="6">
        <v>42.05833333333333</v>
      </c>
      <c r="I321" s="6">
        <v>-81.74466666666666</v>
      </c>
      <c r="J321">
        <v>42.261233333333337</v>
      </c>
      <c r="K321">
        <v>-81.829883333333328</v>
      </c>
      <c r="L321">
        <v>41.621000000000002</v>
      </c>
      <c r="M321">
        <v>-81.539483333333337</v>
      </c>
      <c r="N321" s="22">
        <f t="shared" si="95"/>
        <v>0.22006883077296674</v>
      </c>
      <c r="O321" s="22">
        <f t="shared" si="96"/>
        <v>0.48307416068572057</v>
      </c>
      <c r="P321" s="22">
        <f t="shared" si="83"/>
        <v>0.22006883077296674</v>
      </c>
      <c r="Q321">
        <v>24.7</v>
      </c>
      <c r="R321">
        <v>21.6</v>
      </c>
      <c r="S321">
        <v>24.3</v>
      </c>
      <c r="T321" s="1">
        <v>14</v>
      </c>
      <c r="U321" s="1">
        <v>1</v>
      </c>
      <c r="V321">
        <v>2311</v>
      </c>
      <c r="W321" s="30">
        <v>20</v>
      </c>
      <c r="X321" s="30">
        <v>1.03</v>
      </c>
      <c r="Y321" s="30">
        <v>39</v>
      </c>
      <c r="Z321" s="28">
        <f t="shared" si="85"/>
        <v>0.4</v>
      </c>
      <c r="AA321" s="28">
        <f t="shared" si="86"/>
        <v>0.85</v>
      </c>
      <c r="AB321" s="28">
        <f t="shared" si="87"/>
        <v>0.05</v>
      </c>
      <c r="AC321" s="28">
        <f t="shared" si="88"/>
        <v>0</v>
      </c>
      <c r="AD321" s="28">
        <f t="shared" si="89"/>
        <v>0</v>
      </c>
      <c r="AE321" s="28">
        <f t="shared" si="97"/>
        <v>0.20512820512820512</v>
      </c>
      <c r="AF321" s="28">
        <f t="shared" si="98"/>
        <v>0.4358974358974359</v>
      </c>
      <c r="AG321" s="28">
        <f t="shared" si="99"/>
        <v>2.564102564102564E-2</v>
      </c>
      <c r="AH321" s="28">
        <f t="shared" si="100"/>
        <v>0</v>
      </c>
      <c r="AI321" s="28">
        <f t="shared" si="101"/>
        <v>0</v>
      </c>
      <c r="AJ321" s="30">
        <v>8</v>
      </c>
      <c r="AK321" s="30">
        <v>17</v>
      </c>
      <c r="AL321" s="30">
        <v>1</v>
      </c>
      <c r="AM321" s="30">
        <v>0</v>
      </c>
      <c r="AN321" s="30">
        <v>0</v>
      </c>
      <c r="AO321" s="22">
        <f t="shared" si="90"/>
        <v>2.1972245773362196</v>
      </c>
      <c r="AP321" s="22">
        <f t="shared" si="91"/>
        <v>2.8903717578961645</v>
      </c>
      <c r="AQ321" s="22">
        <f t="shared" si="92"/>
        <v>0.69314718055994529</v>
      </c>
      <c r="AR321" s="22">
        <f t="shared" si="93"/>
        <v>0</v>
      </c>
      <c r="AS321" s="22">
        <f t="shared" si="94"/>
        <v>0</v>
      </c>
    </row>
    <row r="322" spans="1:45" x14ac:dyDescent="0.25">
      <c r="A322" s="1" t="s">
        <v>10</v>
      </c>
      <c r="B322" s="11">
        <v>42935</v>
      </c>
      <c r="C322">
        <v>200</v>
      </c>
      <c r="D322">
        <v>2017</v>
      </c>
      <c r="E322">
        <v>3004</v>
      </c>
      <c r="F322" s="1">
        <v>57600</v>
      </c>
      <c r="G322" s="44">
        <f t="shared" si="84"/>
        <v>0</v>
      </c>
      <c r="H322" s="6">
        <v>42.040500000000002</v>
      </c>
      <c r="I322" s="6">
        <v>-81.745166666666663</v>
      </c>
      <c r="J322">
        <v>42.261233333333337</v>
      </c>
      <c r="K322">
        <v>-81.829883333333328</v>
      </c>
      <c r="L322">
        <v>41.621000000000002</v>
      </c>
      <c r="M322">
        <v>-81.539483333333337</v>
      </c>
      <c r="N322" s="22">
        <f t="shared" si="95"/>
        <v>0.23643205801150602</v>
      </c>
      <c r="O322" s="22">
        <f t="shared" si="96"/>
        <v>0.46721074860399719</v>
      </c>
      <c r="P322" s="22">
        <f t="shared" si="83"/>
        <v>0.23643205801150602</v>
      </c>
      <c r="Q322">
        <v>24.49</v>
      </c>
      <c r="R322">
        <v>24.39</v>
      </c>
      <c r="S322">
        <v>24.3</v>
      </c>
      <c r="T322" s="1">
        <v>5</v>
      </c>
      <c r="U322" s="1">
        <v>0</v>
      </c>
      <c r="V322">
        <v>2351</v>
      </c>
      <c r="W322" s="30">
        <v>20</v>
      </c>
      <c r="X322" s="30">
        <v>1.04</v>
      </c>
      <c r="Y322" s="30">
        <v>275</v>
      </c>
      <c r="Z322" s="28">
        <f t="shared" si="85"/>
        <v>9.6999999999999993</v>
      </c>
      <c r="AA322" s="28">
        <f t="shared" si="86"/>
        <v>2.4500000000000002</v>
      </c>
      <c r="AB322" s="28">
        <f t="shared" si="87"/>
        <v>0</v>
      </c>
      <c r="AC322" s="28">
        <f t="shared" si="88"/>
        <v>0.1</v>
      </c>
      <c r="AD322" s="28">
        <f t="shared" si="89"/>
        <v>0</v>
      </c>
      <c r="AE322" s="28">
        <f t="shared" si="97"/>
        <v>0.70545454545454545</v>
      </c>
      <c r="AF322" s="28">
        <f t="shared" si="98"/>
        <v>0.17818181818181819</v>
      </c>
      <c r="AG322" s="28">
        <f t="shared" si="99"/>
        <v>0</v>
      </c>
      <c r="AH322" s="28">
        <f t="shared" si="100"/>
        <v>7.2727272727272727E-3</v>
      </c>
      <c r="AI322" s="28">
        <f t="shared" si="101"/>
        <v>0</v>
      </c>
      <c r="AJ322" s="30">
        <v>194</v>
      </c>
      <c r="AK322" s="30">
        <v>49</v>
      </c>
      <c r="AL322" s="30">
        <v>0</v>
      </c>
      <c r="AM322" s="30">
        <v>2</v>
      </c>
      <c r="AN322" s="30">
        <v>0</v>
      </c>
      <c r="AO322" s="22">
        <f t="shared" si="90"/>
        <v>5.2729995585637468</v>
      </c>
      <c r="AP322" s="22">
        <f t="shared" si="91"/>
        <v>3.912023005428146</v>
      </c>
      <c r="AQ322" s="22">
        <f t="shared" si="92"/>
        <v>0</v>
      </c>
      <c r="AR322" s="22">
        <f t="shared" si="93"/>
        <v>1.0986122886681098</v>
      </c>
      <c r="AS322" s="22">
        <f t="shared" si="94"/>
        <v>0</v>
      </c>
    </row>
    <row r="323" spans="1:45" x14ac:dyDescent="0.25">
      <c r="A323" s="1" t="s">
        <v>10</v>
      </c>
      <c r="B323" s="11">
        <v>42936</v>
      </c>
      <c r="C323">
        <v>201</v>
      </c>
      <c r="D323">
        <v>2017</v>
      </c>
      <c r="E323">
        <v>3005</v>
      </c>
      <c r="F323" s="1">
        <v>57600</v>
      </c>
      <c r="G323" s="44">
        <f t="shared" si="84"/>
        <v>0</v>
      </c>
      <c r="H323" s="13">
        <v>42.212166666666668</v>
      </c>
      <c r="I323" s="6">
        <v>-81.807000000000002</v>
      </c>
      <c r="J323">
        <v>42.261233333333337</v>
      </c>
      <c r="K323">
        <v>-81.829883333333328</v>
      </c>
      <c r="L323">
        <v>41.621000000000002</v>
      </c>
      <c r="M323">
        <v>-81.539483333333337</v>
      </c>
      <c r="N323" s="22">
        <f t="shared" si="95"/>
        <v>5.414041671636851E-2</v>
      </c>
      <c r="O323" s="22">
        <f t="shared" si="96"/>
        <v>0.64887841289583759</v>
      </c>
      <c r="P323" s="22">
        <f t="shared" si="83"/>
        <v>5.414041671636851E-2</v>
      </c>
      <c r="Q323">
        <v>22.98</v>
      </c>
      <c r="R323">
        <v>11.23</v>
      </c>
      <c r="S323">
        <v>20.5</v>
      </c>
      <c r="T323" s="21">
        <v>12</v>
      </c>
      <c r="U323" s="21">
        <v>0</v>
      </c>
      <c r="V323">
        <v>2543</v>
      </c>
      <c r="W323" s="30">
        <v>20</v>
      </c>
      <c r="X323" s="30">
        <v>1.06</v>
      </c>
      <c r="Y323" s="30">
        <v>61</v>
      </c>
      <c r="Z323" s="28">
        <f t="shared" si="85"/>
        <v>0.15</v>
      </c>
      <c r="AA323" s="28">
        <f t="shared" si="86"/>
        <v>1.2</v>
      </c>
      <c r="AB323" s="28">
        <f t="shared" si="87"/>
        <v>1.3</v>
      </c>
      <c r="AC323" s="28">
        <f t="shared" si="88"/>
        <v>0</v>
      </c>
      <c r="AD323" s="28">
        <f t="shared" si="89"/>
        <v>0.05</v>
      </c>
      <c r="AE323" s="28">
        <f t="shared" si="97"/>
        <v>4.9180327868852458E-2</v>
      </c>
      <c r="AF323" s="28">
        <f t="shared" si="98"/>
        <v>0.39344262295081966</v>
      </c>
      <c r="AG323" s="28">
        <f t="shared" si="99"/>
        <v>0.42622950819672129</v>
      </c>
      <c r="AH323" s="28">
        <f t="shared" si="100"/>
        <v>0</v>
      </c>
      <c r="AI323" s="28">
        <f t="shared" si="101"/>
        <v>1.6393442622950821E-2</v>
      </c>
      <c r="AJ323" s="30">
        <v>3</v>
      </c>
      <c r="AK323" s="30">
        <v>24</v>
      </c>
      <c r="AL323" s="30">
        <v>26</v>
      </c>
      <c r="AM323" s="30">
        <v>0</v>
      </c>
      <c r="AN323" s="30">
        <v>1</v>
      </c>
      <c r="AO323" s="22">
        <f t="shared" si="90"/>
        <v>1.3862943611198906</v>
      </c>
      <c r="AP323" s="22">
        <f t="shared" si="91"/>
        <v>3.2188758248682006</v>
      </c>
      <c r="AQ323" s="22">
        <f t="shared" si="92"/>
        <v>3.2958368660043291</v>
      </c>
      <c r="AR323" s="22">
        <f t="shared" si="93"/>
        <v>0</v>
      </c>
      <c r="AS323" s="22">
        <f t="shared" si="94"/>
        <v>0.69314718055994529</v>
      </c>
    </row>
    <row r="324" spans="1:45" x14ac:dyDescent="0.25">
      <c r="A324" s="1" t="s">
        <v>10</v>
      </c>
      <c r="B324" s="11">
        <v>42936</v>
      </c>
      <c r="C324">
        <v>201</v>
      </c>
      <c r="D324">
        <v>2017</v>
      </c>
      <c r="E324">
        <v>3006</v>
      </c>
      <c r="F324" s="1">
        <v>57600</v>
      </c>
      <c r="G324" s="44">
        <f t="shared" si="84"/>
        <v>0</v>
      </c>
      <c r="H324" s="6">
        <v>42.230166666666669</v>
      </c>
      <c r="I324" s="6">
        <v>-81.81583333333333</v>
      </c>
      <c r="J324">
        <v>42.261233333333337</v>
      </c>
      <c r="K324">
        <v>-81.829883333333328</v>
      </c>
      <c r="L324">
        <v>41.621000000000002</v>
      </c>
      <c r="M324">
        <v>-81.539483333333337</v>
      </c>
      <c r="N324" s="22">
        <f t="shared" si="95"/>
        <v>3.4096044899339414E-2</v>
      </c>
      <c r="O324" s="22">
        <f t="shared" si="96"/>
        <v>0.66891953946478089</v>
      </c>
      <c r="P324" s="22">
        <f t="shared" si="83"/>
        <v>3.4096044899339414E-2</v>
      </c>
      <c r="Q324">
        <v>20.78</v>
      </c>
      <c r="R324">
        <v>14.26</v>
      </c>
      <c r="S324">
        <v>19.100000000000001</v>
      </c>
      <c r="T324" s="1">
        <v>8</v>
      </c>
      <c r="U324" s="1">
        <v>0</v>
      </c>
      <c r="V324">
        <v>2624</v>
      </c>
      <c r="W324" s="30">
        <v>20</v>
      </c>
      <c r="X324" s="30">
        <v>1.05</v>
      </c>
      <c r="Y324" s="30">
        <v>201</v>
      </c>
      <c r="Z324" s="28">
        <f t="shared" si="85"/>
        <v>0.05</v>
      </c>
      <c r="AA324" s="28">
        <f t="shared" si="86"/>
        <v>8.9499999999999993</v>
      </c>
      <c r="AB324" s="28">
        <f t="shared" si="87"/>
        <v>0.45</v>
      </c>
      <c r="AC324" s="28">
        <f t="shared" si="88"/>
        <v>0</v>
      </c>
      <c r="AD324" s="28">
        <f t="shared" si="89"/>
        <v>0.3</v>
      </c>
      <c r="AE324" s="28">
        <f t="shared" si="97"/>
        <v>4.9751243781094526E-3</v>
      </c>
      <c r="AF324" s="28">
        <f t="shared" si="98"/>
        <v>0.89054726368159209</v>
      </c>
      <c r="AG324" s="28">
        <f t="shared" si="99"/>
        <v>4.4776119402985072E-2</v>
      </c>
      <c r="AH324" s="28">
        <f t="shared" si="100"/>
        <v>0</v>
      </c>
      <c r="AI324" s="28">
        <f t="shared" si="101"/>
        <v>2.9850746268656716E-2</v>
      </c>
      <c r="AJ324" s="30">
        <v>1</v>
      </c>
      <c r="AK324" s="30">
        <v>179</v>
      </c>
      <c r="AL324" s="30">
        <v>9</v>
      </c>
      <c r="AM324" s="30">
        <v>0</v>
      </c>
      <c r="AN324" s="30">
        <v>6</v>
      </c>
      <c r="AO324" s="22">
        <f t="shared" si="90"/>
        <v>0.69314718055994529</v>
      </c>
      <c r="AP324" s="22">
        <f t="shared" si="91"/>
        <v>5.1929568508902104</v>
      </c>
      <c r="AQ324" s="22">
        <f t="shared" si="92"/>
        <v>2.3025850929940459</v>
      </c>
      <c r="AR324" s="22">
        <f t="shared" si="93"/>
        <v>0</v>
      </c>
      <c r="AS324" s="22">
        <f t="shared" si="94"/>
        <v>1.9459101490553132</v>
      </c>
    </row>
    <row r="325" spans="1:45" x14ac:dyDescent="0.25">
      <c r="A325" s="1" t="s">
        <v>10</v>
      </c>
      <c r="B325" s="11">
        <v>42936</v>
      </c>
      <c r="C325">
        <v>201</v>
      </c>
      <c r="D325">
        <v>2017</v>
      </c>
      <c r="E325">
        <v>3007</v>
      </c>
      <c r="F325" s="1">
        <v>57600</v>
      </c>
      <c r="G325" s="44">
        <f t="shared" si="84"/>
        <v>0</v>
      </c>
      <c r="H325" s="6">
        <v>42.212166666666668</v>
      </c>
      <c r="I325" s="6">
        <v>-81.807333333333332</v>
      </c>
      <c r="J325">
        <v>42.261233333333337</v>
      </c>
      <c r="K325">
        <v>-81.829883333333328</v>
      </c>
      <c r="L325">
        <v>41.621000000000002</v>
      </c>
      <c r="M325">
        <v>-81.539483333333337</v>
      </c>
      <c r="N325" s="22">
        <f t="shared" si="95"/>
        <v>5.4000372941098634E-2</v>
      </c>
      <c r="O325" s="22">
        <f t="shared" si="96"/>
        <v>0.64901590910991924</v>
      </c>
      <c r="P325" s="22">
        <f t="shared" si="83"/>
        <v>5.4000372941098634E-2</v>
      </c>
      <c r="Q325">
        <v>22.74</v>
      </c>
      <c r="R325">
        <v>19.940000000000001</v>
      </c>
      <c r="S325">
        <v>20.399999999999999</v>
      </c>
      <c r="T325" s="1">
        <v>5</v>
      </c>
      <c r="U325" s="1">
        <v>0</v>
      </c>
      <c r="V325">
        <v>2703</v>
      </c>
      <c r="W325" s="30">
        <v>20</v>
      </c>
      <c r="X325" s="30">
        <v>1.07</v>
      </c>
      <c r="Y325" s="30">
        <v>189</v>
      </c>
      <c r="Z325" s="28">
        <f t="shared" si="85"/>
        <v>0.05</v>
      </c>
      <c r="AA325" s="28">
        <f t="shared" si="86"/>
        <v>6.75</v>
      </c>
      <c r="AB325" s="28">
        <f t="shared" si="87"/>
        <v>0.05</v>
      </c>
      <c r="AC325" s="28">
        <f t="shared" si="88"/>
        <v>0</v>
      </c>
      <c r="AD325" s="28">
        <f t="shared" si="89"/>
        <v>0.1</v>
      </c>
      <c r="AE325" s="28">
        <f t="shared" si="97"/>
        <v>5.2910052910052907E-3</v>
      </c>
      <c r="AF325" s="28">
        <f t="shared" si="98"/>
        <v>0.7142857142857143</v>
      </c>
      <c r="AG325" s="28">
        <f t="shared" si="99"/>
        <v>5.2910052910052907E-3</v>
      </c>
      <c r="AH325" s="28">
        <f t="shared" si="100"/>
        <v>0</v>
      </c>
      <c r="AI325" s="28">
        <f t="shared" si="101"/>
        <v>1.0582010582010581E-2</v>
      </c>
      <c r="AJ325" s="30">
        <v>1</v>
      </c>
      <c r="AK325" s="30">
        <v>135</v>
      </c>
      <c r="AL325" s="30">
        <v>1</v>
      </c>
      <c r="AM325" s="30">
        <v>0</v>
      </c>
      <c r="AN325" s="30">
        <v>2</v>
      </c>
      <c r="AO325" s="22">
        <f t="shared" si="90"/>
        <v>0.69314718055994529</v>
      </c>
      <c r="AP325" s="22">
        <f t="shared" si="91"/>
        <v>4.9126548857360524</v>
      </c>
      <c r="AQ325" s="22">
        <f t="shared" si="92"/>
        <v>0.69314718055994529</v>
      </c>
      <c r="AR325" s="22">
        <f t="shared" si="93"/>
        <v>0</v>
      </c>
      <c r="AS325" s="22">
        <f t="shared" si="94"/>
        <v>1.0986122886681098</v>
      </c>
    </row>
    <row r="326" spans="1:45" x14ac:dyDescent="0.25">
      <c r="A326" s="1" t="s">
        <v>10</v>
      </c>
      <c r="B326" s="11">
        <v>42936</v>
      </c>
      <c r="C326">
        <v>201</v>
      </c>
      <c r="D326">
        <v>2017</v>
      </c>
      <c r="E326">
        <v>3008</v>
      </c>
      <c r="F326" s="1">
        <v>57600</v>
      </c>
      <c r="G326" s="44">
        <f t="shared" si="84"/>
        <v>0</v>
      </c>
      <c r="H326" s="6">
        <v>42.255499999999998</v>
      </c>
      <c r="I326" s="6">
        <v>-81.82716666666667</v>
      </c>
      <c r="J326">
        <v>42.261233333333337</v>
      </c>
      <c r="K326">
        <v>-81.829883333333328</v>
      </c>
      <c r="L326">
        <v>41.621000000000002</v>
      </c>
      <c r="M326">
        <v>-81.539483333333337</v>
      </c>
      <c r="N326" s="22">
        <f t="shared" si="95"/>
        <v>6.3443982290602198E-3</v>
      </c>
      <c r="O326" s="22">
        <f t="shared" si="96"/>
        <v>0.69667205360755824</v>
      </c>
      <c r="P326" s="22">
        <f t="shared" si="83"/>
        <v>6.3443982290602198E-3</v>
      </c>
      <c r="Q326">
        <v>19.309999999999999</v>
      </c>
      <c r="R326">
        <v>13.43</v>
      </c>
      <c r="S326">
        <v>13.4</v>
      </c>
      <c r="T326" s="1">
        <v>10</v>
      </c>
      <c r="U326" s="1">
        <v>0</v>
      </c>
      <c r="V326">
        <v>2755</v>
      </c>
      <c r="W326" s="30">
        <v>20</v>
      </c>
      <c r="X326" s="30">
        <v>1.06</v>
      </c>
      <c r="Y326" s="30">
        <v>2385</v>
      </c>
      <c r="Z326" s="28">
        <f t="shared" si="85"/>
        <v>0</v>
      </c>
      <c r="AA326" s="28">
        <f t="shared" si="86"/>
        <v>3.65</v>
      </c>
      <c r="AB326" s="28">
        <f t="shared" si="87"/>
        <v>115.05</v>
      </c>
      <c r="AC326" s="28">
        <f t="shared" si="88"/>
        <v>0.05</v>
      </c>
      <c r="AD326" s="28">
        <f t="shared" si="89"/>
        <v>0.1</v>
      </c>
      <c r="AE326" s="28">
        <f t="shared" si="97"/>
        <v>0</v>
      </c>
      <c r="AF326" s="28">
        <f t="shared" si="98"/>
        <v>3.0607966457023062E-2</v>
      </c>
      <c r="AG326" s="28">
        <f t="shared" si="99"/>
        <v>0.96477987421383649</v>
      </c>
      <c r="AH326" s="28">
        <f t="shared" si="100"/>
        <v>4.1928721174004191E-4</v>
      </c>
      <c r="AI326" s="28">
        <f t="shared" si="101"/>
        <v>8.3857442348008382E-4</v>
      </c>
      <c r="AJ326" s="30">
        <v>0</v>
      </c>
      <c r="AK326" s="30">
        <v>73</v>
      </c>
      <c r="AL326" s="30">
        <v>2301</v>
      </c>
      <c r="AM326" s="30">
        <v>1</v>
      </c>
      <c r="AN326" s="30">
        <v>2</v>
      </c>
      <c r="AO326" s="22">
        <f t="shared" si="90"/>
        <v>0</v>
      </c>
      <c r="AP326" s="22">
        <f t="shared" si="91"/>
        <v>4.3040650932041702</v>
      </c>
      <c r="AQ326" s="22">
        <f t="shared" si="92"/>
        <v>7.7415335892818282</v>
      </c>
      <c r="AR326" s="22">
        <f t="shared" si="93"/>
        <v>0.69314718055994529</v>
      </c>
      <c r="AS326" s="22">
        <f t="shared" si="94"/>
        <v>1.0986122886681098</v>
      </c>
    </row>
    <row r="327" spans="1:45" x14ac:dyDescent="0.25">
      <c r="A327" s="1" t="s">
        <v>10</v>
      </c>
      <c r="B327" s="11">
        <v>42936</v>
      </c>
      <c r="C327">
        <v>201</v>
      </c>
      <c r="D327">
        <v>2017</v>
      </c>
      <c r="E327">
        <v>3009</v>
      </c>
      <c r="F327" s="1">
        <v>57600</v>
      </c>
      <c r="G327" s="44">
        <f t="shared" si="84"/>
        <v>0</v>
      </c>
      <c r="H327" s="6">
        <v>42.239166666666669</v>
      </c>
      <c r="I327" s="6">
        <v>-81.817999999999998</v>
      </c>
      <c r="J327">
        <v>42.261233333333337</v>
      </c>
      <c r="K327">
        <v>-81.829883333333328</v>
      </c>
      <c r="L327">
        <v>41.621000000000002</v>
      </c>
      <c r="M327">
        <v>-81.539483333333337</v>
      </c>
      <c r="N327" s="22">
        <f t="shared" si="95"/>
        <v>2.5062948527434629E-2</v>
      </c>
      <c r="O327" s="22">
        <f t="shared" si="96"/>
        <v>0.67801295075307122</v>
      </c>
      <c r="P327" s="22">
        <f t="shared" si="83"/>
        <v>2.5062948527434629E-2</v>
      </c>
      <c r="Q327">
        <v>20.84</v>
      </c>
      <c r="R327">
        <v>18.32</v>
      </c>
      <c r="S327">
        <v>18.2</v>
      </c>
      <c r="T327" s="1">
        <v>5</v>
      </c>
      <c r="U327" s="1">
        <v>0</v>
      </c>
      <c r="V327">
        <v>2837</v>
      </c>
      <c r="W327" s="30">
        <v>20</v>
      </c>
      <c r="X327" s="30">
        <v>0.99</v>
      </c>
      <c r="Y327" s="30">
        <v>168</v>
      </c>
      <c r="Z327" s="28">
        <f t="shared" si="85"/>
        <v>0</v>
      </c>
      <c r="AA327" s="28">
        <f t="shared" si="86"/>
        <v>4.95</v>
      </c>
      <c r="AB327" s="28">
        <f t="shared" si="87"/>
        <v>3.35</v>
      </c>
      <c r="AC327" s="28">
        <f t="shared" si="88"/>
        <v>0.05</v>
      </c>
      <c r="AD327" s="28">
        <f t="shared" si="89"/>
        <v>0</v>
      </c>
      <c r="AE327" s="28">
        <f t="shared" si="97"/>
        <v>0</v>
      </c>
      <c r="AF327" s="28">
        <f t="shared" si="98"/>
        <v>0.5892857142857143</v>
      </c>
      <c r="AG327" s="28">
        <f t="shared" si="99"/>
        <v>0.39880952380952384</v>
      </c>
      <c r="AH327" s="28">
        <f t="shared" si="100"/>
        <v>5.9523809523809521E-3</v>
      </c>
      <c r="AI327" s="28">
        <f t="shared" si="101"/>
        <v>0</v>
      </c>
      <c r="AJ327" s="30">
        <v>0</v>
      </c>
      <c r="AK327" s="30">
        <v>99</v>
      </c>
      <c r="AL327" s="30">
        <v>67</v>
      </c>
      <c r="AM327" s="30">
        <v>1</v>
      </c>
      <c r="AN327" s="30">
        <v>0</v>
      </c>
      <c r="AO327" s="22">
        <f t="shared" si="90"/>
        <v>0</v>
      </c>
      <c r="AP327" s="22">
        <f t="shared" si="91"/>
        <v>4.6051701859880918</v>
      </c>
      <c r="AQ327" s="22">
        <f t="shared" si="92"/>
        <v>4.219507705176107</v>
      </c>
      <c r="AR327" s="22">
        <f t="shared" si="93"/>
        <v>0.69314718055994529</v>
      </c>
      <c r="AS327" s="22">
        <f t="shared" si="94"/>
        <v>0</v>
      </c>
    </row>
    <row r="328" spans="1:45" x14ac:dyDescent="0.25">
      <c r="A328" s="1" t="s">
        <v>10</v>
      </c>
      <c r="B328" s="11">
        <v>42936</v>
      </c>
      <c r="C328">
        <v>201</v>
      </c>
      <c r="D328">
        <v>2017</v>
      </c>
      <c r="E328">
        <v>4001</v>
      </c>
      <c r="F328" s="1">
        <v>57350</v>
      </c>
      <c r="G328" s="44">
        <f t="shared" si="84"/>
        <v>0</v>
      </c>
      <c r="H328" s="13">
        <v>41.908000000000001</v>
      </c>
      <c r="I328" s="6">
        <v>-82.15</v>
      </c>
      <c r="J328">
        <v>42.1434</v>
      </c>
      <c r="K328">
        <v>-82.285266666666672</v>
      </c>
      <c r="L328">
        <v>41.52558333333333</v>
      </c>
      <c r="M328">
        <v>-81.97645</v>
      </c>
      <c r="N328" s="22">
        <f t="shared" si="95"/>
        <v>0.2714962819471205</v>
      </c>
      <c r="O328" s="22">
        <f t="shared" si="96"/>
        <v>0.41995488977323508</v>
      </c>
      <c r="P328" s="22">
        <f t="shared" si="83"/>
        <v>0.2714962819471205</v>
      </c>
      <c r="Q328">
        <v>24.38</v>
      </c>
      <c r="R328">
        <v>12.76</v>
      </c>
      <c r="S328">
        <v>21.3</v>
      </c>
      <c r="T328" s="21">
        <v>15</v>
      </c>
      <c r="U328" s="21">
        <v>1</v>
      </c>
      <c r="V328">
        <v>2156</v>
      </c>
      <c r="W328" s="30">
        <v>20</v>
      </c>
      <c r="X328" s="30">
        <v>1.05</v>
      </c>
      <c r="Y328" s="30">
        <v>254</v>
      </c>
      <c r="Z328" s="28">
        <f t="shared" si="85"/>
        <v>0.1</v>
      </c>
      <c r="AA328" s="28">
        <f t="shared" si="86"/>
        <v>4.7</v>
      </c>
      <c r="AB328" s="28">
        <f t="shared" si="87"/>
        <v>3.85</v>
      </c>
      <c r="AC328" s="28">
        <f t="shared" si="88"/>
        <v>0.1</v>
      </c>
      <c r="AD328" s="28">
        <f t="shared" si="89"/>
        <v>3.25</v>
      </c>
      <c r="AE328" s="28">
        <f t="shared" si="97"/>
        <v>7.874015748031496E-3</v>
      </c>
      <c r="AF328" s="28">
        <f t="shared" si="98"/>
        <v>0.37007874015748032</v>
      </c>
      <c r="AG328" s="28">
        <f t="shared" si="99"/>
        <v>0.30314960629921262</v>
      </c>
      <c r="AH328" s="28">
        <f t="shared" si="100"/>
        <v>7.874015748031496E-3</v>
      </c>
      <c r="AI328" s="28">
        <f t="shared" si="101"/>
        <v>0.25590551181102361</v>
      </c>
      <c r="AJ328" s="30">
        <v>2</v>
      </c>
      <c r="AK328" s="30">
        <v>94</v>
      </c>
      <c r="AL328" s="30">
        <v>77</v>
      </c>
      <c r="AM328" s="30">
        <v>2</v>
      </c>
      <c r="AN328" s="30">
        <v>65</v>
      </c>
      <c r="AO328" s="22">
        <f t="shared" si="90"/>
        <v>1.0986122886681098</v>
      </c>
      <c r="AP328" s="22">
        <f t="shared" si="91"/>
        <v>4.5538768916005408</v>
      </c>
      <c r="AQ328" s="22">
        <f t="shared" si="92"/>
        <v>4.3567088266895917</v>
      </c>
      <c r="AR328" s="22">
        <f t="shared" si="93"/>
        <v>1.0986122886681098</v>
      </c>
      <c r="AS328" s="22">
        <f t="shared" si="94"/>
        <v>4.1896547420264252</v>
      </c>
    </row>
    <row r="329" spans="1:45" x14ac:dyDescent="0.25">
      <c r="A329" s="1" t="s">
        <v>10</v>
      </c>
      <c r="B329" s="11">
        <v>42936</v>
      </c>
      <c r="C329">
        <v>201</v>
      </c>
      <c r="D329">
        <v>2017</v>
      </c>
      <c r="E329">
        <v>4002</v>
      </c>
      <c r="F329" s="1">
        <v>57350</v>
      </c>
      <c r="G329" s="44">
        <f t="shared" si="84"/>
        <v>0</v>
      </c>
      <c r="H329" s="6">
        <v>41.892333333333333</v>
      </c>
      <c r="I329" s="6">
        <v>-82.141333333333336</v>
      </c>
      <c r="J329">
        <v>42.1434</v>
      </c>
      <c r="K329">
        <v>-82.285266666666672</v>
      </c>
      <c r="L329">
        <v>41.52558333333333</v>
      </c>
      <c r="M329">
        <v>-81.97645</v>
      </c>
      <c r="N329" s="22">
        <f t="shared" si="95"/>
        <v>0.28939812638570489</v>
      </c>
      <c r="O329" s="22">
        <f t="shared" si="96"/>
        <v>0.40210953247978876</v>
      </c>
      <c r="P329" s="22">
        <f t="shared" si="83"/>
        <v>0.28939812638570489</v>
      </c>
      <c r="Q329">
        <v>24.59</v>
      </c>
      <c r="R329">
        <v>22.11</v>
      </c>
      <c r="S329">
        <v>21.4</v>
      </c>
      <c r="T329" s="1">
        <v>12</v>
      </c>
      <c r="U329" s="1">
        <v>0</v>
      </c>
      <c r="V329">
        <v>2237</v>
      </c>
      <c r="W329" s="30">
        <v>20</v>
      </c>
      <c r="X329" s="30">
        <v>1.03</v>
      </c>
      <c r="Y329" s="30">
        <v>319</v>
      </c>
      <c r="Z329" s="28">
        <f t="shared" si="85"/>
        <v>0.25</v>
      </c>
      <c r="AA329" s="28">
        <f t="shared" si="86"/>
        <v>13.15</v>
      </c>
      <c r="AB329" s="28">
        <f t="shared" si="87"/>
        <v>0.15</v>
      </c>
      <c r="AC329" s="28">
        <f t="shared" si="88"/>
        <v>0.1</v>
      </c>
      <c r="AD329" s="28">
        <f t="shared" si="89"/>
        <v>0.6</v>
      </c>
      <c r="AE329" s="28">
        <f t="shared" si="97"/>
        <v>1.5673981191222569E-2</v>
      </c>
      <c r="AF329" s="28">
        <f t="shared" si="98"/>
        <v>0.82445141065830718</v>
      </c>
      <c r="AG329" s="28">
        <f t="shared" si="99"/>
        <v>9.4043887147335428E-3</v>
      </c>
      <c r="AH329" s="28">
        <f t="shared" si="100"/>
        <v>6.269592476489028E-3</v>
      </c>
      <c r="AI329" s="28">
        <f t="shared" si="101"/>
        <v>3.7617554858934171E-2</v>
      </c>
      <c r="AJ329" s="30">
        <v>5</v>
      </c>
      <c r="AK329" s="30">
        <v>263</v>
      </c>
      <c r="AL329" s="30">
        <v>3</v>
      </c>
      <c r="AM329" s="30">
        <v>2</v>
      </c>
      <c r="AN329" s="30">
        <v>12</v>
      </c>
      <c r="AO329" s="22">
        <f t="shared" si="90"/>
        <v>1.791759469228055</v>
      </c>
      <c r="AP329" s="22">
        <f t="shared" si="91"/>
        <v>5.575949103146316</v>
      </c>
      <c r="AQ329" s="22">
        <f t="shared" si="92"/>
        <v>1.3862943611198906</v>
      </c>
      <c r="AR329" s="22">
        <f t="shared" si="93"/>
        <v>1.0986122886681098</v>
      </c>
      <c r="AS329" s="22">
        <f t="shared" si="94"/>
        <v>2.5649493574615367</v>
      </c>
    </row>
    <row r="330" spans="1:45" x14ac:dyDescent="0.25">
      <c r="A330" s="1" t="s">
        <v>10</v>
      </c>
      <c r="B330" s="11">
        <v>42936</v>
      </c>
      <c r="C330">
        <v>201</v>
      </c>
      <c r="D330">
        <v>2017</v>
      </c>
      <c r="E330">
        <v>4003</v>
      </c>
      <c r="F330" s="1">
        <v>57350</v>
      </c>
      <c r="G330" s="44">
        <f t="shared" si="84"/>
        <v>0</v>
      </c>
      <c r="H330" s="6">
        <v>41.920999999999999</v>
      </c>
      <c r="I330" s="6">
        <v>-82.155000000000001</v>
      </c>
      <c r="J330">
        <v>42.1434</v>
      </c>
      <c r="K330">
        <v>-82.285266666666672</v>
      </c>
      <c r="L330">
        <v>41.52558333333333</v>
      </c>
      <c r="M330">
        <v>-81.97645</v>
      </c>
      <c r="N330" s="22">
        <f t="shared" si="95"/>
        <v>0.25774243819062032</v>
      </c>
      <c r="O330" s="22">
        <f t="shared" si="96"/>
        <v>0.43385993451548444</v>
      </c>
      <c r="P330" s="22">
        <f t="shared" si="83"/>
        <v>0.25774243819062032</v>
      </c>
      <c r="Q330">
        <v>24.35</v>
      </c>
      <c r="R330">
        <v>23.46</v>
      </c>
      <c r="S330">
        <v>21.3</v>
      </c>
      <c r="T330" s="1">
        <v>9</v>
      </c>
      <c r="U330" s="1">
        <v>0</v>
      </c>
      <c r="V330">
        <v>2319</v>
      </c>
      <c r="W330" s="30">
        <v>20</v>
      </c>
      <c r="X330" s="30">
        <v>1.04</v>
      </c>
      <c r="Y330" s="30">
        <v>167</v>
      </c>
      <c r="Z330" s="28">
        <f t="shared" si="85"/>
        <v>3.35</v>
      </c>
      <c r="AA330" s="28">
        <f t="shared" si="86"/>
        <v>1.1000000000000001</v>
      </c>
      <c r="AB330" s="28">
        <f t="shared" si="87"/>
        <v>0.1</v>
      </c>
      <c r="AC330" s="28">
        <f t="shared" si="88"/>
        <v>0.65</v>
      </c>
      <c r="AD330" s="28">
        <f t="shared" si="89"/>
        <v>0.05</v>
      </c>
      <c r="AE330" s="28">
        <f t="shared" si="97"/>
        <v>0.40119760479041916</v>
      </c>
      <c r="AF330" s="28">
        <f t="shared" si="98"/>
        <v>0.1317365269461078</v>
      </c>
      <c r="AG330" s="28">
        <f t="shared" si="99"/>
        <v>1.1976047904191617E-2</v>
      </c>
      <c r="AH330" s="28">
        <f t="shared" si="100"/>
        <v>7.7844311377245512E-2</v>
      </c>
      <c r="AI330" s="28">
        <f t="shared" si="101"/>
        <v>5.9880239520958087E-3</v>
      </c>
      <c r="AJ330" s="30">
        <v>67</v>
      </c>
      <c r="AK330" s="30">
        <v>22</v>
      </c>
      <c r="AL330" s="30">
        <v>2</v>
      </c>
      <c r="AM330" s="30">
        <v>13</v>
      </c>
      <c r="AN330" s="30">
        <v>1</v>
      </c>
      <c r="AO330" s="22">
        <f t="shared" si="90"/>
        <v>4.219507705176107</v>
      </c>
      <c r="AP330" s="22">
        <f t="shared" si="91"/>
        <v>3.1354942159291497</v>
      </c>
      <c r="AQ330" s="22">
        <f t="shared" si="92"/>
        <v>1.0986122886681098</v>
      </c>
      <c r="AR330" s="22">
        <f t="shared" si="93"/>
        <v>2.6390573296152584</v>
      </c>
      <c r="AS330" s="22">
        <f t="shared" si="94"/>
        <v>0.69314718055994529</v>
      </c>
    </row>
    <row r="331" spans="1:45" x14ac:dyDescent="0.25">
      <c r="A331" s="1" t="s">
        <v>10</v>
      </c>
      <c r="B331" s="11">
        <v>42937</v>
      </c>
      <c r="C331">
        <v>202</v>
      </c>
      <c r="D331">
        <v>2017</v>
      </c>
      <c r="E331">
        <v>4004</v>
      </c>
      <c r="F331" s="1">
        <v>57350</v>
      </c>
      <c r="G331" s="44">
        <f t="shared" si="84"/>
        <v>0</v>
      </c>
      <c r="H331" s="13">
        <v>41.94016666666667</v>
      </c>
      <c r="I331" s="6">
        <v>-82.164833333333334</v>
      </c>
      <c r="J331">
        <v>42.1434</v>
      </c>
      <c r="K331">
        <v>-82.285266666666672</v>
      </c>
      <c r="L331">
        <v>41.52558333333333</v>
      </c>
      <c r="M331">
        <v>-81.97645</v>
      </c>
      <c r="N331" s="22">
        <f t="shared" si="95"/>
        <v>0.23623711722664426</v>
      </c>
      <c r="O331" s="22">
        <f t="shared" si="96"/>
        <v>0.45537635045702735</v>
      </c>
      <c r="P331" s="22">
        <f t="shared" si="83"/>
        <v>0.23623711722664426</v>
      </c>
      <c r="Q331">
        <v>23.86</v>
      </c>
      <c r="R331">
        <v>23.84</v>
      </c>
      <c r="S331">
        <v>21.3</v>
      </c>
      <c r="T331" s="21">
        <v>6</v>
      </c>
      <c r="U331" s="47">
        <v>0</v>
      </c>
      <c r="V331">
        <v>2400</v>
      </c>
      <c r="W331" s="30">
        <v>20</v>
      </c>
      <c r="X331" s="30">
        <v>1.03</v>
      </c>
      <c r="Y331" s="30">
        <v>98</v>
      </c>
      <c r="Z331" s="28">
        <f t="shared" si="85"/>
        <v>1.85</v>
      </c>
      <c r="AA331" s="28">
        <f t="shared" si="86"/>
        <v>1.1000000000000001</v>
      </c>
      <c r="AB331" s="28">
        <f t="shared" si="87"/>
        <v>0</v>
      </c>
      <c r="AC331" s="28">
        <f t="shared" si="88"/>
        <v>0.35</v>
      </c>
      <c r="AD331" s="28">
        <f t="shared" si="89"/>
        <v>0</v>
      </c>
      <c r="AE331" s="28">
        <f t="shared" si="97"/>
        <v>0.37755102040816324</v>
      </c>
      <c r="AF331" s="28">
        <f t="shared" si="98"/>
        <v>0.22448979591836735</v>
      </c>
      <c r="AG331" s="28">
        <f t="shared" si="99"/>
        <v>0</v>
      </c>
      <c r="AH331" s="28">
        <f t="shared" si="100"/>
        <v>7.1428571428571425E-2</v>
      </c>
      <c r="AI331" s="28">
        <f t="shared" si="101"/>
        <v>0</v>
      </c>
      <c r="AJ331" s="30">
        <v>37</v>
      </c>
      <c r="AK331" s="30">
        <v>22</v>
      </c>
      <c r="AL331" s="30">
        <v>0</v>
      </c>
      <c r="AM331" s="30">
        <v>7</v>
      </c>
      <c r="AN331" s="30">
        <v>0</v>
      </c>
      <c r="AO331" s="22">
        <f t="shared" si="90"/>
        <v>3.6375861597263857</v>
      </c>
      <c r="AP331" s="22">
        <f t="shared" si="91"/>
        <v>3.1354942159291497</v>
      </c>
      <c r="AQ331" s="22">
        <f t="shared" si="92"/>
        <v>0</v>
      </c>
      <c r="AR331" s="22">
        <f t="shared" si="93"/>
        <v>2.0794415416798357</v>
      </c>
      <c r="AS331" s="22">
        <f t="shared" si="94"/>
        <v>0</v>
      </c>
    </row>
    <row r="332" spans="1:45" x14ac:dyDescent="0.25">
      <c r="A332" s="1" t="s">
        <v>10</v>
      </c>
      <c r="B332" s="11">
        <v>42937</v>
      </c>
      <c r="C332">
        <v>202</v>
      </c>
      <c r="D332">
        <v>2017</v>
      </c>
      <c r="E332">
        <v>4005</v>
      </c>
      <c r="F332" s="1">
        <v>57350</v>
      </c>
      <c r="G332" s="44">
        <f t="shared" si="84"/>
        <v>0</v>
      </c>
      <c r="H332" s="6">
        <v>42.055</v>
      </c>
      <c r="I332" s="6">
        <v>-82.224500000000006</v>
      </c>
      <c r="J332">
        <v>42.1434</v>
      </c>
      <c r="K332">
        <v>-82.285266666666672</v>
      </c>
      <c r="L332">
        <v>41.52558333333333</v>
      </c>
      <c r="M332">
        <v>-81.97645</v>
      </c>
      <c r="N332" s="22">
        <f t="shared" si="95"/>
        <v>0.10727137445645833</v>
      </c>
      <c r="O332" s="22">
        <f t="shared" si="96"/>
        <v>0.58464588380014348</v>
      </c>
      <c r="P332" s="22">
        <f t="shared" si="83"/>
        <v>0.10727137445645833</v>
      </c>
      <c r="Q332">
        <v>23.11</v>
      </c>
      <c r="R332">
        <v>13.12</v>
      </c>
      <c r="S332">
        <v>20.9</v>
      </c>
      <c r="T332" s="1">
        <v>9</v>
      </c>
      <c r="U332" s="47">
        <v>0</v>
      </c>
      <c r="V332">
        <v>2534</v>
      </c>
      <c r="W332" s="30">
        <v>20</v>
      </c>
      <c r="X332" s="30">
        <v>1.07</v>
      </c>
      <c r="Y332" s="30">
        <v>280</v>
      </c>
      <c r="Z332" s="28">
        <f t="shared" si="85"/>
        <v>0.05</v>
      </c>
      <c r="AA332" s="28">
        <f t="shared" si="86"/>
        <v>12.65</v>
      </c>
      <c r="AB332" s="28">
        <f t="shared" si="87"/>
        <v>0.35</v>
      </c>
      <c r="AC332" s="28">
        <f t="shared" si="88"/>
        <v>0</v>
      </c>
      <c r="AD332" s="28">
        <f t="shared" si="89"/>
        <v>0.4</v>
      </c>
      <c r="AE332" s="28">
        <f t="shared" si="97"/>
        <v>3.5714285714285713E-3</v>
      </c>
      <c r="AF332" s="28">
        <f t="shared" si="98"/>
        <v>0.90357142857142858</v>
      </c>
      <c r="AG332" s="28">
        <f t="shared" si="99"/>
        <v>2.5000000000000001E-2</v>
      </c>
      <c r="AH332" s="28">
        <f t="shared" si="100"/>
        <v>0</v>
      </c>
      <c r="AI332" s="28">
        <f t="shared" si="101"/>
        <v>2.8571428571428571E-2</v>
      </c>
      <c r="AJ332" s="30">
        <v>1</v>
      </c>
      <c r="AK332" s="30">
        <v>253</v>
      </c>
      <c r="AL332" s="30">
        <v>7</v>
      </c>
      <c r="AM332" s="30">
        <v>0</v>
      </c>
      <c r="AN332" s="30">
        <v>8</v>
      </c>
      <c r="AO332" s="22">
        <f t="shared" si="90"/>
        <v>0.69314718055994529</v>
      </c>
      <c r="AP332" s="22">
        <f t="shared" si="91"/>
        <v>5.5373342670185366</v>
      </c>
      <c r="AQ332" s="22">
        <f t="shared" si="92"/>
        <v>2.0794415416798357</v>
      </c>
      <c r="AR332" s="22">
        <f t="shared" si="93"/>
        <v>0</v>
      </c>
      <c r="AS332" s="22">
        <f t="shared" si="94"/>
        <v>2.1972245773362196</v>
      </c>
    </row>
    <row r="333" spans="1:45" x14ac:dyDescent="0.25">
      <c r="A333" s="1" t="s">
        <v>10</v>
      </c>
      <c r="B333" s="11">
        <v>42937</v>
      </c>
      <c r="C333">
        <v>202</v>
      </c>
      <c r="D333">
        <v>2017</v>
      </c>
      <c r="E333">
        <v>4006</v>
      </c>
      <c r="F333" s="1">
        <v>57350</v>
      </c>
      <c r="G333" s="44">
        <f t="shared" si="84"/>
        <v>0</v>
      </c>
      <c r="H333" s="6">
        <v>42.0715</v>
      </c>
      <c r="I333" s="6">
        <v>-82.234833333333327</v>
      </c>
      <c r="J333">
        <v>42.1434</v>
      </c>
      <c r="K333">
        <v>-82.285266666666672</v>
      </c>
      <c r="L333">
        <v>41.52558333333333</v>
      </c>
      <c r="M333">
        <v>-81.97645</v>
      </c>
      <c r="N333" s="22">
        <f t="shared" si="95"/>
        <v>8.7824433451700615E-2</v>
      </c>
      <c r="O333" s="22">
        <f t="shared" si="96"/>
        <v>0.60397595472741283</v>
      </c>
      <c r="P333" s="22">
        <f t="shared" si="83"/>
        <v>8.7824433451700615E-2</v>
      </c>
      <c r="Q333">
        <v>23.33</v>
      </c>
      <c r="R333">
        <v>14.47</v>
      </c>
      <c r="S333">
        <v>20.7</v>
      </c>
      <c r="T333" s="1">
        <v>7</v>
      </c>
      <c r="U333" s="47">
        <v>0</v>
      </c>
      <c r="V333">
        <v>2613</v>
      </c>
      <c r="W333" s="30">
        <v>20</v>
      </c>
      <c r="X333" s="30">
        <v>1</v>
      </c>
      <c r="Y333" s="30">
        <v>477</v>
      </c>
      <c r="Z333" s="28">
        <f t="shared" si="85"/>
        <v>0</v>
      </c>
      <c r="AA333" s="28">
        <f t="shared" si="86"/>
        <v>22.15</v>
      </c>
      <c r="AB333" s="28">
        <f t="shared" si="87"/>
        <v>0.8</v>
      </c>
      <c r="AC333" s="28">
        <f t="shared" si="88"/>
        <v>0</v>
      </c>
      <c r="AD333" s="28">
        <f t="shared" si="89"/>
        <v>0.45</v>
      </c>
      <c r="AE333" s="28">
        <f t="shared" si="97"/>
        <v>0</v>
      </c>
      <c r="AF333" s="28">
        <f t="shared" si="98"/>
        <v>0.92872117400419285</v>
      </c>
      <c r="AG333" s="28">
        <f t="shared" si="99"/>
        <v>3.3542976939203356E-2</v>
      </c>
      <c r="AH333" s="28">
        <f t="shared" si="100"/>
        <v>0</v>
      </c>
      <c r="AI333" s="28">
        <f t="shared" si="101"/>
        <v>1.8867924528301886E-2</v>
      </c>
      <c r="AJ333" s="30">
        <v>0</v>
      </c>
      <c r="AK333" s="30">
        <v>443</v>
      </c>
      <c r="AL333" s="30">
        <v>16</v>
      </c>
      <c r="AM333" s="30">
        <v>0</v>
      </c>
      <c r="AN333" s="30">
        <v>9</v>
      </c>
      <c r="AO333" s="22">
        <f t="shared" si="90"/>
        <v>0</v>
      </c>
      <c r="AP333" s="22">
        <f t="shared" si="91"/>
        <v>6.0958245624322247</v>
      </c>
      <c r="AQ333" s="22">
        <f t="shared" si="92"/>
        <v>2.8332133440562162</v>
      </c>
      <c r="AR333" s="22">
        <f t="shared" si="93"/>
        <v>0</v>
      </c>
      <c r="AS333" s="22">
        <f t="shared" si="94"/>
        <v>2.3025850929940459</v>
      </c>
    </row>
    <row r="334" spans="1:45" x14ac:dyDescent="0.25">
      <c r="A334" s="1" t="s">
        <v>10</v>
      </c>
      <c r="B334" s="11">
        <v>42937</v>
      </c>
      <c r="C334">
        <v>202</v>
      </c>
      <c r="D334">
        <v>2017</v>
      </c>
      <c r="E334">
        <v>4007</v>
      </c>
      <c r="F334" s="1">
        <v>57350</v>
      </c>
      <c r="G334" s="44">
        <f t="shared" si="84"/>
        <v>0</v>
      </c>
      <c r="H334" s="13">
        <v>42.05983333333333</v>
      </c>
      <c r="I334" s="6">
        <v>-82.22</v>
      </c>
      <c r="J334">
        <v>42.1434</v>
      </c>
      <c r="K334">
        <v>-82.285266666666672</v>
      </c>
      <c r="L334">
        <v>41.52558333333333</v>
      </c>
      <c r="M334">
        <v>-81.97645</v>
      </c>
      <c r="N334" s="22">
        <f t="shared" si="95"/>
        <v>0.10603360578400094</v>
      </c>
      <c r="O334" s="22">
        <f t="shared" si="96"/>
        <v>0.58714535253206224</v>
      </c>
      <c r="P334" s="22">
        <f t="shared" si="83"/>
        <v>0.10603360578400094</v>
      </c>
      <c r="Q334">
        <v>23.04</v>
      </c>
      <c r="R334">
        <v>20.54</v>
      </c>
      <c r="S334">
        <v>21</v>
      </c>
      <c r="T334" s="21">
        <v>5</v>
      </c>
      <c r="U334" s="47">
        <v>0</v>
      </c>
      <c r="V334">
        <v>2649</v>
      </c>
      <c r="W334" s="30">
        <v>20</v>
      </c>
      <c r="X334" s="30">
        <v>1.04</v>
      </c>
      <c r="Y334" s="30">
        <v>91</v>
      </c>
      <c r="Z334" s="28">
        <f t="shared" si="85"/>
        <v>0.25</v>
      </c>
      <c r="AA334" s="28">
        <f t="shared" si="86"/>
        <v>1.4</v>
      </c>
      <c r="AB334" s="28">
        <f t="shared" si="87"/>
        <v>0</v>
      </c>
      <c r="AC334" s="28">
        <f t="shared" si="88"/>
        <v>0</v>
      </c>
      <c r="AD334" s="28">
        <f t="shared" si="89"/>
        <v>0.05</v>
      </c>
      <c r="AE334" s="28">
        <f t="shared" si="97"/>
        <v>5.4945054945054944E-2</v>
      </c>
      <c r="AF334" s="28">
        <f t="shared" si="98"/>
        <v>0.30769230769230771</v>
      </c>
      <c r="AG334" s="28">
        <f t="shared" si="99"/>
        <v>0</v>
      </c>
      <c r="AH334" s="28">
        <f t="shared" si="100"/>
        <v>0</v>
      </c>
      <c r="AI334" s="28">
        <f t="shared" si="101"/>
        <v>1.098901098901099E-2</v>
      </c>
      <c r="AJ334" s="30">
        <v>5</v>
      </c>
      <c r="AK334" s="30">
        <v>28</v>
      </c>
      <c r="AL334" s="30">
        <v>0</v>
      </c>
      <c r="AM334" s="30">
        <v>0</v>
      </c>
      <c r="AN334" s="30">
        <v>1</v>
      </c>
      <c r="AO334" s="22">
        <f t="shared" si="90"/>
        <v>1.791759469228055</v>
      </c>
      <c r="AP334" s="22">
        <f t="shared" si="91"/>
        <v>3.3672958299864741</v>
      </c>
      <c r="AQ334" s="22">
        <f t="shared" si="92"/>
        <v>0</v>
      </c>
      <c r="AR334" s="22">
        <f t="shared" si="93"/>
        <v>0</v>
      </c>
      <c r="AS334" s="22">
        <f t="shared" si="94"/>
        <v>0.69314718055994529</v>
      </c>
    </row>
    <row r="335" spans="1:45" x14ac:dyDescent="0.25">
      <c r="A335" s="1" t="s">
        <v>10</v>
      </c>
      <c r="B335" s="11">
        <v>42937</v>
      </c>
      <c r="C335">
        <v>202</v>
      </c>
      <c r="D335">
        <v>2017</v>
      </c>
      <c r="E335">
        <v>4008</v>
      </c>
      <c r="F335" s="1">
        <v>57350</v>
      </c>
      <c r="G335" s="44">
        <f t="shared" si="84"/>
        <v>0</v>
      </c>
      <c r="H335" s="6">
        <v>42.146666666666668</v>
      </c>
      <c r="I335" s="6">
        <v>-82.26433333333334</v>
      </c>
      <c r="J335">
        <v>42.1434</v>
      </c>
      <c r="K335">
        <v>-82.285266666666672</v>
      </c>
      <c r="L335">
        <v>41.52558333333333</v>
      </c>
      <c r="M335">
        <v>-81.97645</v>
      </c>
      <c r="N335" s="22">
        <f t="shared" si="95"/>
        <v>2.1186683448702118E-2</v>
      </c>
      <c r="O335" s="22">
        <f t="shared" si="96"/>
        <v>0.68455921625200966</v>
      </c>
      <c r="P335" s="22">
        <f t="shared" si="83"/>
        <v>2.1186683448702118E-2</v>
      </c>
      <c r="Q335">
        <v>21.89</v>
      </c>
      <c r="R335">
        <v>12.18</v>
      </c>
      <c r="S335">
        <v>13.6</v>
      </c>
      <c r="T335" s="1">
        <v>7</v>
      </c>
      <c r="U335" s="47">
        <v>0</v>
      </c>
      <c r="V335">
        <v>2755</v>
      </c>
      <c r="W335" s="30">
        <v>20</v>
      </c>
      <c r="X335" s="30">
        <v>1.02</v>
      </c>
      <c r="Y335" s="30">
        <v>216</v>
      </c>
      <c r="Z335" s="28">
        <f t="shared" si="85"/>
        <v>0</v>
      </c>
      <c r="AA335" s="28">
        <f t="shared" si="86"/>
        <v>7.6</v>
      </c>
      <c r="AB335" s="28">
        <f t="shared" si="87"/>
        <v>3.05</v>
      </c>
      <c r="AC335" s="28">
        <f t="shared" si="88"/>
        <v>0</v>
      </c>
      <c r="AD335" s="28">
        <f t="shared" si="89"/>
        <v>0</v>
      </c>
      <c r="AE335" s="28">
        <f t="shared" si="97"/>
        <v>0</v>
      </c>
      <c r="AF335" s="28">
        <f t="shared" si="98"/>
        <v>0.70370370370370372</v>
      </c>
      <c r="AG335" s="28">
        <f t="shared" si="99"/>
        <v>0.28240740740740738</v>
      </c>
      <c r="AH335" s="28">
        <f t="shared" si="100"/>
        <v>0</v>
      </c>
      <c r="AI335" s="28">
        <f t="shared" si="101"/>
        <v>0</v>
      </c>
      <c r="AJ335" s="30">
        <v>0</v>
      </c>
      <c r="AK335" s="30">
        <v>152</v>
      </c>
      <c r="AL335" s="30">
        <v>61</v>
      </c>
      <c r="AM335" s="30">
        <v>0</v>
      </c>
      <c r="AN335" s="30">
        <v>0</v>
      </c>
      <c r="AO335" s="22">
        <f t="shared" si="90"/>
        <v>0</v>
      </c>
      <c r="AP335" s="22">
        <f t="shared" si="91"/>
        <v>5.0304379213924353</v>
      </c>
      <c r="AQ335" s="22">
        <f t="shared" si="92"/>
        <v>4.1271343850450917</v>
      </c>
      <c r="AR335" s="22">
        <f t="shared" si="93"/>
        <v>0</v>
      </c>
      <c r="AS335" s="22">
        <f t="shared" si="94"/>
        <v>0</v>
      </c>
    </row>
    <row r="336" spans="1:45" x14ac:dyDescent="0.25">
      <c r="A336" s="1" t="s">
        <v>10</v>
      </c>
      <c r="B336" s="11">
        <v>42937</v>
      </c>
      <c r="C336">
        <v>202</v>
      </c>
      <c r="D336">
        <v>2017</v>
      </c>
      <c r="E336">
        <v>4009</v>
      </c>
      <c r="F336" s="1">
        <v>57350</v>
      </c>
      <c r="G336" s="44">
        <f t="shared" si="84"/>
        <v>0</v>
      </c>
      <c r="H336" s="6">
        <v>42.13133333333333</v>
      </c>
      <c r="I336" s="6">
        <v>-82.26166666666667</v>
      </c>
      <c r="J336">
        <v>42.1434</v>
      </c>
      <c r="K336">
        <v>-82.285266666666672</v>
      </c>
      <c r="L336">
        <v>41.52558333333333</v>
      </c>
      <c r="M336">
        <v>-81.97645</v>
      </c>
      <c r="N336" s="22">
        <f t="shared" si="95"/>
        <v>2.65059322500567E-2</v>
      </c>
      <c r="O336" s="22">
        <f t="shared" si="96"/>
        <v>0.66953835546923457</v>
      </c>
      <c r="P336" s="22">
        <f t="shared" si="83"/>
        <v>2.65059322500567E-2</v>
      </c>
      <c r="Q336">
        <v>21.5</v>
      </c>
      <c r="R336">
        <v>17.5</v>
      </c>
      <c r="S336">
        <v>17.100000000000001</v>
      </c>
      <c r="T336" s="1">
        <v>5</v>
      </c>
      <c r="U336" s="47">
        <v>0</v>
      </c>
      <c r="V336">
        <v>2836</v>
      </c>
      <c r="W336" s="30">
        <v>20</v>
      </c>
      <c r="X336" s="30">
        <v>1.01</v>
      </c>
      <c r="Y336" s="30">
        <v>477</v>
      </c>
      <c r="Z336" s="28">
        <f t="shared" si="85"/>
        <v>0</v>
      </c>
      <c r="AA336" s="28">
        <f t="shared" si="86"/>
        <v>22.75</v>
      </c>
      <c r="AB336" s="28">
        <f t="shared" si="87"/>
        <v>0.75</v>
      </c>
      <c r="AC336" s="28">
        <f t="shared" si="88"/>
        <v>0</v>
      </c>
      <c r="AD336" s="28">
        <f t="shared" si="89"/>
        <v>0</v>
      </c>
      <c r="AE336" s="28">
        <f t="shared" si="97"/>
        <v>0</v>
      </c>
      <c r="AF336" s="28">
        <f t="shared" si="98"/>
        <v>0.95387840670859536</v>
      </c>
      <c r="AG336" s="28">
        <f t="shared" si="99"/>
        <v>3.1446540880503145E-2</v>
      </c>
      <c r="AH336" s="28">
        <f t="shared" si="100"/>
        <v>0</v>
      </c>
      <c r="AI336" s="28">
        <f t="shared" si="101"/>
        <v>0</v>
      </c>
      <c r="AJ336" s="30">
        <v>0</v>
      </c>
      <c r="AK336" s="30">
        <v>455</v>
      </c>
      <c r="AL336" s="30">
        <v>15</v>
      </c>
      <c r="AM336" s="30">
        <v>0</v>
      </c>
      <c r="AN336" s="30">
        <v>0</v>
      </c>
      <c r="AO336" s="22">
        <f t="shared" si="90"/>
        <v>0</v>
      </c>
      <c r="AP336" s="22">
        <f t="shared" si="91"/>
        <v>6.1224928095143865</v>
      </c>
      <c r="AQ336" s="22">
        <f t="shared" si="92"/>
        <v>2.7725887222397811</v>
      </c>
      <c r="AR336" s="22">
        <f t="shared" si="93"/>
        <v>0</v>
      </c>
      <c r="AS336" s="22">
        <f t="shared" si="94"/>
        <v>0</v>
      </c>
    </row>
    <row r="337" spans="1:45" x14ac:dyDescent="0.25">
      <c r="A337" s="1" t="s">
        <v>10</v>
      </c>
      <c r="B337" s="11">
        <v>43297</v>
      </c>
      <c r="C337">
        <v>197</v>
      </c>
      <c r="D337">
        <v>2018</v>
      </c>
      <c r="E337">
        <v>1001</v>
      </c>
      <c r="F337" s="1">
        <v>58100</v>
      </c>
      <c r="G337" s="44">
        <f t="shared" si="84"/>
        <v>1</v>
      </c>
      <c r="H337" s="6">
        <v>42.622</v>
      </c>
      <c r="I337" s="6">
        <v>-81.007999999999996</v>
      </c>
      <c r="J337">
        <v>42.632766666666669</v>
      </c>
      <c r="K337">
        <v>-81.01636666666667</v>
      </c>
      <c r="L337">
        <v>41.96221666666667</v>
      </c>
      <c r="M337">
        <v>-80.744650000000007</v>
      </c>
      <c r="N337" s="22">
        <f t="shared" si="95"/>
        <v>1.3635329927156067E-2</v>
      </c>
      <c r="O337" s="22">
        <f t="shared" si="96"/>
        <v>0.71039937320104229</v>
      </c>
      <c r="P337" s="22">
        <f t="shared" si="83"/>
        <v>1.3635329927156067E-2</v>
      </c>
      <c r="Q337">
        <v>24.6</v>
      </c>
      <c r="R337">
        <v>20.399999999999999</v>
      </c>
      <c r="S337">
        <v>14.2</v>
      </c>
      <c r="T337" s="1">
        <v>5</v>
      </c>
      <c r="U337" s="47">
        <v>0</v>
      </c>
      <c r="V337">
        <v>2235</v>
      </c>
      <c r="W337" s="30">
        <v>20</v>
      </c>
      <c r="X337" s="30">
        <v>1</v>
      </c>
      <c r="Y337">
        <v>23</v>
      </c>
      <c r="Z337" s="28">
        <f t="shared" si="85"/>
        <v>0.2</v>
      </c>
      <c r="AA337" s="28">
        <f t="shared" si="86"/>
        <v>0</v>
      </c>
      <c r="AB337" s="28">
        <f t="shared" si="87"/>
        <v>0</v>
      </c>
      <c r="AC337" s="28">
        <f t="shared" si="88"/>
        <v>0.1</v>
      </c>
      <c r="AD337" s="28">
        <f t="shared" si="89"/>
        <v>0.15</v>
      </c>
      <c r="AE337" s="28">
        <f t="shared" si="97"/>
        <v>0.17391304347826086</v>
      </c>
      <c r="AF337" s="28">
        <f t="shared" si="98"/>
        <v>0</v>
      </c>
      <c r="AG337" s="28">
        <f t="shared" si="99"/>
        <v>0</v>
      </c>
      <c r="AH337" s="28">
        <f t="shared" si="100"/>
        <v>8.6956521739130432E-2</v>
      </c>
      <c r="AI337" s="28">
        <f t="shared" si="101"/>
        <v>0.13043478260869565</v>
      </c>
      <c r="AJ337">
        <v>4</v>
      </c>
      <c r="AK337" s="30">
        <v>0</v>
      </c>
      <c r="AL337" s="30">
        <v>0</v>
      </c>
      <c r="AM337">
        <v>2</v>
      </c>
      <c r="AN337">
        <v>3</v>
      </c>
      <c r="AO337" s="22">
        <f t="shared" si="90"/>
        <v>1.6094379124341003</v>
      </c>
      <c r="AP337" s="22">
        <f t="shared" si="91"/>
        <v>0</v>
      </c>
      <c r="AQ337" s="22">
        <f t="shared" si="92"/>
        <v>0</v>
      </c>
      <c r="AR337" s="22">
        <f t="shared" si="93"/>
        <v>1.0986122886681098</v>
      </c>
      <c r="AS337" s="22">
        <f t="shared" si="94"/>
        <v>1.3862943611198906</v>
      </c>
    </row>
    <row r="338" spans="1:45" x14ac:dyDescent="0.25">
      <c r="A338" s="1" t="s">
        <v>10</v>
      </c>
      <c r="B338" s="11">
        <v>43297</v>
      </c>
      <c r="C338">
        <v>197</v>
      </c>
      <c r="D338">
        <v>2018</v>
      </c>
      <c r="E338">
        <v>1002</v>
      </c>
      <c r="F338" s="1">
        <v>58100</v>
      </c>
      <c r="G338" s="44">
        <f t="shared" si="84"/>
        <v>1</v>
      </c>
      <c r="H338" s="6">
        <v>42.607333333333337</v>
      </c>
      <c r="I338" s="6">
        <v>-81.001166666666663</v>
      </c>
      <c r="J338">
        <v>42.632766666666669</v>
      </c>
      <c r="K338">
        <v>-81.01636666666667</v>
      </c>
      <c r="L338">
        <v>41.96221666666667</v>
      </c>
      <c r="M338">
        <v>-80.744650000000007</v>
      </c>
      <c r="N338" s="22">
        <f t="shared" si="95"/>
        <v>2.9629283562796455E-2</v>
      </c>
      <c r="O338" s="22">
        <f t="shared" si="96"/>
        <v>0.69424513962208123</v>
      </c>
      <c r="P338" s="22">
        <f t="shared" ref="P338:P401" si="102">MIN(O338, N338)</f>
        <v>2.9629283562796455E-2</v>
      </c>
      <c r="Q338">
        <v>24.4</v>
      </c>
      <c r="R338">
        <v>18.7</v>
      </c>
      <c r="S338">
        <v>14.5</v>
      </c>
      <c r="T338" s="1">
        <v>9</v>
      </c>
      <c r="U338" s="47">
        <v>0</v>
      </c>
      <c r="V338">
        <v>2324</v>
      </c>
      <c r="W338" s="30">
        <v>20</v>
      </c>
      <c r="X338" s="30">
        <v>1.03</v>
      </c>
      <c r="Y338">
        <v>19</v>
      </c>
      <c r="Z338" s="28">
        <f t="shared" si="85"/>
        <v>0</v>
      </c>
      <c r="AA338" s="28">
        <f t="shared" si="86"/>
        <v>0.35</v>
      </c>
      <c r="AB338" s="28">
        <f t="shared" si="87"/>
        <v>0</v>
      </c>
      <c r="AC338" s="28">
        <f t="shared" si="88"/>
        <v>0.05</v>
      </c>
      <c r="AD338" s="28">
        <f t="shared" si="89"/>
        <v>0.2</v>
      </c>
      <c r="AE338" s="28">
        <f t="shared" si="97"/>
        <v>0</v>
      </c>
      <c r="AF338" s="28">
        <f t="shared" si="98"/>
        <v>0.36842105263157893</v>
      </c>
      <c r="AG338" s="28">
        <f t="shared" si="99"/>
        <v>0</v>
      </c>
      <c r="AH338" s="28">
        <f t="shared" si="100"/>
        <v>5.2631578947368418E-2</v>
      </c>
      <c r="AI338" s="28">
        <f t="shared" si="101"/>
        <v>0.21052631578947367</v>
      </c>
      <c r="AJ338">
        <v>0</v>
      </c>
      <c r="AK338">
        <v>7</v>
      </c>
      <c r="AL338" s="30">
        <v>0</v>
      </c>
      <c r="AM338">
        <v>1</v>
      </c>
      <c r="AN338">
        <v>4</v>
      </c>
      <c r="AO338" s="22">
        <f t="shared" si="90"/>
        <v>0</v>
      </c>
      <c r="AP338" s="22">
        <f t="shared" si="91"/>
        <v>2.0794415416798357</v>
      </c>
      <c r="AQ338" s="22">
        <f t="shared" si="92"/>
        <v>0</v>
      </c>
      <c r="AR338" s="22">
        <f t="shared" si="93"/>
        <v>0.69314718055994529</v>
      </c>
      <c r="AS338" s="22">
        <f t="shared" si="94"/>
        <v>1.6094379124341003</v>
      </c>
    </row>
    <row r="339" spans="1:45" x14ac:dyDescent="0.25">
      <c r="A339" s="1" t="s">
        <v>10</v>
      </c>
      <c r="B339" s="11">
        <v>43298</v>
      </c>
      <c r="C339">
        <v>198</v>
      </c>
      <c r="D339">
        <v>2018</v>
      </c>
      <c r="E339">
        <v>1003</v>
      </c>
      <c r="F339" s="1">
        <v>58100</v>
      </c>
      <c r="G339" s="44">
        <f t="shared" ref="G339:G402" si="103">IF(F339&lt;57601, 0, 1)</f>
        <v>1</v>
      </c>
      <c r="H339" s="6">
        <v>42.541833333333336</v>
      </c>
      <c r="I339" s="6">
        <v>-80.974166666666662</v>
      </c>
      <c r="J339">
        <v>42.632766666666669</v>
      </c>
      <c r="K339">
        <v>-81.01636666666667</v>
      </c>
      <c r="L339">
        <v>41.96221666666667</v>
      </c>
      <c r="M339">
        <v>-80.744650000000007</v>
      </c>
      <c r="N339" s="22">
        <f t="shared" si="95"/>
        <v>0.10024824742164623</v>
      </c>
      <c r="O339" s="22">
        <f t="shared" si="96"/>
        <v>0.62340466837805264</v>
      </c>
      <c r="P339" s="22">
        <f t="shared" si="102"/>
        <v>0.10024824742164623</v>
      </c>
      <c r="Q339">
        <v>24.6</v>
      </c>
      <c r="R339">
        <v>24.4</v>
      </c>
      <c r="S339">
        <v>18.600000000000001</v>
      </c>
      <c r="T339" s="1">
        <v>5</v>
      </c>
      <c r="U339" s="47">
        <v>0</v>
      </c>
      <c r="V339">
        <v>2440</v>
      </c>
      <c r="W339" s="30">
        <v>20</v>
      </c>
      <c r="X339" s="30">
        <v>1.01</v>
      </c>
      <c r="Y339">
        <v>26</v>
      </c>
      <c r="Z339" s="28">
        <f t="shared" ref="Z339:Z402" si="104">AJ339/$W339</f>
        <v>0.2</v>
      </c>
      <c r="AA339" s="28">
        <f t="shared" ref="AA339:AA402" si="105">AK339/$W339</f>
        <v>0.15</v>
      </c>
      <c r="AB339" s="28">
        <f t="shared" ref="AB339:AB402" si="106">AL339/$W339</f>
        <v>0</v>
      </c>
      <c r="AC339" s="28">
        <f t="shared" ref="AC339:AC402" si="107">AM339/$W339</f>
        <v>0</v>
      </c>
      <c r="AD339" s="28">
        <f t="shared" ref="AD339:AD402" si="108">AN339/$W339</f>
        <v>0.25</v>
      </c>
      <c r="AE339" s="28">
        <f t="shared" si="97"/>
        <v>0.15384615384615385</v>
      </c>
      <c r="AF339" s="28">
        <f t="shared" si="98"/>
        <v>0.11538461538461539</v>
      </c>
      <c r="AG339" s="28">
        <f t="shared" si="99"/>
        <v>0</v>
      </c>
      <c r="AH339" s="28">
        <f t="shared" si="100"/>
        <v>0</v>
      </c>
      <c r="AI339" s="28">
        <f t="shared" si="101"/>
        <v>0.19230769230769232</v>
      </c>
      <c r="AJ339">
        <v>4</v>
      </c>
      <c r="AK339">
        <v>3</v>
      </c>
      <c r="AL339" s="30">
        <v>0</v>
      </c>
      <c r="AM339" s="30">
        <v>0</v>
      </c>
      <c r="AN339">
        <v>5</v>
      </c>
      <c r="AO339" s="22">
        <f t="shared" ref="AO339:AO402" si="109">LN(AJ339+1)</f>
        <v>1.6094379124341003</v>
      </c>
      <c r="AP339" s="22">
        <f t="shared" ref="AP339:AP402" si="110">LN(AK339+1)</f>
        <v>1.3862943611198906</v>
      </c>
      <c r="AQ339" s="22">
        <f t="shared" ref="AQ339:AQ402" si="111">LN(AL339+1)</f>
        <v>0</v>
      </c>
      <c r="AR339" s="22">
        <f t="shared" ref="AR339:AR402" si="112">LN(AM339+1)</f>
        <v>0</v>
      </c>
      <c r="AS339" s="22">
        <f t="shared" ref="AS339:AS402" si="113">LN(AN339+1)</f>
        <v>1.791759469228055</v>
      </c>
    </row>
    <row r="340" spans="1:45" x14ac:dyDescent="0.25">
      <c r="A340" s="1" t="s">
        <v>10</v>
      </c>
      <c r="B340" s="11">
        <v>43298</v>
      </c>
      <c r="C340">
        <v>198</v>
      </c>
      <c r="D340">
        <v>2018</v>
      </c>
      <c r="E340">
        <v>1004</v>
      </c>
      <c r="F340" s="1">
        <v>58100</v>
      </c>
      <c r="G340" s="44">
        <f t="shared" si="103"/>
        <v>1</v>
      </c>
      <c r="H340" s="13">
        <v>42.519666666666666</v>
      </c>
      <c r="I340" s="6">
        <v>-80.958333333333329</v>
      </c>
      <c r="J340">
        <v>42.632766666666669</v>
      </c>
      <c r="K340">
        <v>-81.01636666666667</v>
      </c>
      <c r="L340">
        <v>41.96221666666667</v>
      </c>
      <c r="M340">
        <v>-80.744650000000007</v>
      </c>
      <c r="N340" s="22">
        <f t="shared" si="95"/>
        <v>0.12711993461994606</v>
      </c>
      <c r="O340" s="22">
        <f t="shared" si="96"/>
        <v>0.59700173320052818</v>
      </c>
      <c r="P340" s="22">
        <f t="shared" si="102"/>
        <v>0.12711993461994606</v>
      </c>
      <c r="Q340">
        <v>24.5</v>
      </c>
      <c r="R340">
        <v>21.9</v>
      </c>
      <c r="S340">
        <v>19.3</v>
      </c>
      <c r="T340" s="21">
        <v>12</v>
      </c>
      <c r="U340" s="21">
        <v>0</v>
      </c>
      <c r="V340">
        <v>2521</v>
      </c>
      <c r="W340" s="30">
        <v>20</v>
      </c>
      <c r="X340" s="30">
        <v>1</v>
      </c>
      <c r="Y340">
        <v>50</v>
      </c>
      <c r="Z340" s="28">
        <f t="shared" si="104"/>
        <v>0</v>
      </c>
      <c r="AA340" s="28">
        <f t="shared" si="105"/>
        <v>0.9</v>
      </c>
      <c r="AB340" s="28">
        <f t="shared" si="106"/>
        <v>0</v>
      </c>
      <c r="AC340" s="28">
        <f t="shared" si="107"/>
        <v>0</v>
      </c>
      <c r="AD340" s="28">
        <f t="shared" si="108"/>
        <v>1.25</v>
      </c>
      <c r="AE340" s="28">
        <f t="shared" si="97"/>
        <v>0</v>
      </c>
      <c r="AF340" s="28">
        <f t="shared" si="98"/>
        <v>0.36</v>
      </c>
      <c r="AG340" s="28">
        <f t="shared" si="99"/>
        <v>0</v>
      </c>
      <c r="AH340" s="28">
        <f t="shared" si="100"/>
        <v>0</v>
      </c>
      <c r="AI340" s="28">
        <f t="shared" si="101"/>
        <v>0.5</v>
      </c>
      <c r="AJ340">
        <v>0</v>
      </c>
      <c r="AK340">
        <v>18</v>
      </c>
      <c r="AL340" s="30">
        <v>0</v>
      </c>
      <c r="AM340" s="30">
        <v>0</v>
      </c>
      <c r="AN340">
        <v>25</v>
      </c>
      <c r="AO340" s="22">
        <f t="shared" si="109"/>
        <v>0</v>
      </c>
      <c r="AP340" s="22">
        <f t="shared" si="110"/>
        <v>2.9444389791664403</v>
      </c>
      <c r="AQ340" s="22">
        <f t="shared" si="111"/>
        <v>0</v>
      </c>
      <c r="AR340" s="22">
        <f t="shared" si="112"/>
        <v>0</v>
      </c>
      <c r="AS340" s="22">
        <f t="shared" si="113"/>
        <v>3.2580965380214821</v>
      </c>
    </row>
    <row r="341" spans="1:45" x14ac:dyDescent="0.25">
      <c r="A341" s="1" t="s">
        <v>10</v>
      </c>
      <c r="B341" s="11">
        <v>43298</v>
      </c>
      <c r="C341">
        <v>198</v>
      </c>
      <c r="D341">
        <v>2018</v>
      </c>
      <c r="E341">
        <v>1005</v>
      </c>
      <c r="F341" s="1">
        <v>58100</v>
      </c>
      <c r="G341" s="44">
        <f t="shared" si="103"/>
        <v>1</v>
      </c>
      <c r="H341" s="6">
        <v>42.505499999999998</v>
      </c>
      <c r="I341" s="6">
        <v>-80.948166666666665</v>
      </c>
      <c r="J341">
        <v>42.632766666666669</v>
      </c>
      <c r="K341">
        <v>-81.01636666666667</v>
      </c>
      <c r="L341">
        <v>41.96221666666667</v>
      </c>
      <c r="M341">
        <v>-80.744650000000007</v>
      </c>
      <c r="N341" s="22">
        <f t="shared" si="95"/>
        <v>0.14438851908807057</v>
      </c>
      <c r="O341" s="22">
        <f t="shared" si="96"/>
        <v>0.58015154389941903</v>
      </c>
      <c r="P341" s="22">
        <f t="shared" si="102"/>
        <v>0.14438851908807057</v>
      </c>
      <c r="R341">
        <v>17.600000000000001</v>
      </c>
      <c r="S341">
        <v>19.5</v>
      </c>
      <c r="T341" s="1">
        <v>16</v>
      </c>
      <c r="U341" s="1">
        <v>1</v>
      </c>
      <c r="V341">
        <v>2609</v>
      </c>
      <c r="W341" s="30">
        <v>20</v>
      </c>
      <c r="X341" s="30">
        <v>1</v>
      </c>
      <c r="Y341">
        <v>13</v>
      </c>
      <c r="Z341" s="28">
        <f t="shared" si="104"/>
        <v>0</v>
      </c>
      <c r="AA341" s="28">
        <f t="shared" si="105"/>
        <v>0</v>
      </c>
      <c r="AB341" s="28">
        <f t="shared" si="106"/>
        <v>0</v>
      </c>
      <c r="AC341" s="28">
        <f t="shared" si="107"/>
        <v>0</v>
      </c>
      <c r="AD341" s="28">
        <f t="shared" si="108"/>
        <v>0.45</v>
      </c>
      <c r="AE341" s="28">
        <f t="shared" si="97"/>
        <v>0</v>
      </c>
      <c r="AF341" s="28">
        <f t="shared" si="98"/>
        <v>0</v>
      </c>
      <c r="AG341" s="28">
        <f t="shared" si="99"/>
        <v>0</v>
      </c>
      <c r="AH341" s="28">
        <f t="shared" si="100"/>
        <v>0</v>
      </c>
      <c r="AI341" s="28">
        <f t="shared" si="101"/>
        <v>0.69230769230769229</v>
      </c>
      <c r="AJ341">
        <v>0</v>
      </c>
      <c r="AK341">
        <v>0</v>
      </c>
      <c r="AL341" s="30">
        <v>0</v>
      </c>
      <c r="AM341" s="30">
        <v>0</v>
      </c>
      <c r="AN341">
        <v>9</v>
      </c>
      <c r="AO341" s="22">
        <f t="shared" si="109"/>
        <v>0</v>
      </c>
      <c r="AP341" s="22">
        <f t="shared" si="110"/>
        <v>0</v>
      </c>
      <c r="AQ341" s="22">
        <f t="shared" si="111"/>
        <v>0</v>
      </c>
      <c r="AR341" s="22">
        <f t="shared" si="112"/>
        <v>0</v>
      </c>
      <c r="AS341" s="22">
        <f t="shared" si="113"/>
        <v>2.3025850929940459</v>
      </c>
    </row>
    <row r="342" spans="1:45" x14ac:dyDescent="0.25">
      <c r="A342" s="1" t="s">
        <v>10</v>
      </c>
      <c r="B342" s="11">
        <v>43298</v>
      </c>
      <c r="C342">
        <v>198</v>
      </c>
      <c r="D342">
        <v>2018</v>
      </c>
      <c r="E342">
        <v>1006</v>
      </c>
      <c r="F342" s="1">
        <v>58100</v>
      </c>
      <c r="G342" s="44">
        <f t="shared" si="103"/>
        <v>1</v>
      </c>
      <c r="H342" s="6">
        <v>42.381500000000003</v>
      </c>
      <c r="I342" s="6">
        <v>-80.915999999999997</v>
      </c>
      <c r="J342">
        <v>42.632766666666669</v>
      </c>
      <c r="K342">
        <v>-81.01636666666667</v>
      </c>
      <c r="L342">
        <v>41.96221666666667</v>
      </c>
      <c r="M342">
        <v>-80.744650000000007</v>
      </c>
      <c r="N342" s="22">
        <f t="shared" si="95"/>
        <v>0.27057051863711346</v>
      </c>
      <c r="O342" s="22">
        <f t="shared" si="96"/>
        <v>0.45294518002856254</v>
      </c>
      <c r="P342" s="22">
        <f t="shared" si="102"/>
        <v>0.27057051863711346</v>
      </c>
      <c r="Q342">
        <v>24.2</v>
      </c>
      <c r="R342">
        <v>22.9</v>
      </c>
      <c r="S342">
        <v>21.3</v>
      </c>
      <c r="T342" s="1">
        <v>8</v>
      </c>
      <c r="U342" s="1">
        <v>0</v>
      </c>
      <c r="V342">
        <v>2753</v>
      </c>
      <c r="W342" s="30">
        <v>20</v>
      </c>
      <c r="X342" s="30">
        <v>1.0900000000000001</v>
      </c>
      <c r="Y342">
        <v>48</v>
      </c>
      <c r="Z342" s="28">
        <f t="shared" si="104"/>
        <v>0</v>
      </c>
      <c r="AA342" s="28">
        <f t="shared" si="105"/>
        <v>0</v>
      </c>
      <c r="AB342" s="28">
        <f t="shared" si="106"/>
        <v>0</v>
      </c>
      <c r="AC342" s="28">
        <f t="shared" si="107"/>
        <v>0</v>
      </c>
      <c r="AD342" s="28">
        <f t="shared" si="108"/>
        <v>2.2999999999999998</v>
      </c>
      <c r="AE342" s="28">
        <f t="shared" si="97"/>
        <v>0</v>
      </c>
      <c r="AF342" s="28">
        <f t="shared" si="98"/>
        <v>0</v>
      </c>
      <c r="AG342" s="28">
        <f t="shared" si="99"/>
        <v>0</v>
      </c>
      <c r="AH342" s="28">
        <f t="shared" si="100"/>
        <v>0</v>
      </c>
      <c r="AI342" s="28">
        <f t="shared" si="101"/>
        <v>0.95833333333333337</v>
      </c>
      <c r="AJ342">
        <v>0</v>
      </c>
      <c r="AK342">
        <v>0</v>
      </c>
      <c r="AL342" s="30">
        <v>0</v>
      </c>
      <c r="AM342" s="30">
        <v>0</v>
      </c>
      <c r="AN342">
        <v>46</v>
      </c>
      <c r="AO342" s="22">
        <f t="shared" si="109"/>
        <v>0</v>
      </c>
      <c r="AP342" s="22">
        <f t="shared" si="110"/>
        <v>0</v>
      </c>
      <c r="AQ342" s="22">
        <f t="shared" si="111"/>
        <v>0</v>
      </c>
      <c r="AR342" s="22">
        <f t="shared" si="112"/>
        <v>0</v>
      </c>
      <c r="AS342" s="22">
        <f t="shared" si="113"/>
        <v>3.8501476017100584</v>
      </c>
    </row>
    <row r="343" spans="1:45" x14ac:dyDescent="0.25">
      <c r="A343" s="1" t="s">
        <v>10</v>
      </c>
      <c r="B343" s="11">
        <v>43298</v>
      </c>
      <c r="C343">
        <v>198</v>
      </c>
      <c r="D343">
        <v>2018</v>
      </c>
      <c r="E343">
        <v>1007</v>
      </c>
      <c r="F343" s="1">
        <v>58100</v>
      </c>
      <c r="G343" s="44">
        <f t="shared" si="103"/>
        <v>1</v>
      </c>
      <c r="H343" s="6">
        <v>42.378500000000003</v>
      </c>
      <c r="I343" s="6">
        <v>-80.887666666666661</v>
      </c>
      <c r="J343">
        <v>42.632766666666669</v>
      </c>
      <c r="K343">
        <v>-81.01636666666667</v>
      </c>
      <c r="L343">
        <v>41.96221666666667</v>
      </c>
      <c r="M343">
        <v>-80.744650000000007</v>
      </c>
      <c r="N343" s="22">
        <f t="shared" si="95"/>
        <v>0.2849828552348016</v>
      </c>
      <c r="O343" s="22">
        <f t="shared" si="96"/>
        <v>0.44016540136129634</v>
      </c>
      <c r="P343" s="22">
        <f t="shared" si="102"/>
        <v>0.2849828552348016</v>
      </c>
      <c r="Q343">
        <v>24.4</v>
      </c>
      <c r="R343">
        <v>21.8</v>
      </c>
      <c r="S343">
        <v>21.2</v>
      </c>
      <c r="T343" s="1">
        <v>12</v>
      </c>
      <c r="U343" s="1">
        <v>0</v>
      </c>
      <c r="V343">
        <v>2841</v>
      </c>
      <c r="W343" s="30">
        <v>20</v>
      </c>
      <c r="X343" s="30">
        <v>1.02</v>
      </c>
      <c r="Y343">
        <v>16</v>
      </c>
      <c r="Z343" s="28">
        <f t="shared" si="104"/>
        <v>0</v>
      </c>
      <c r="AA343" s="28">
        <f t="shared" si="105"/>
        <v>0</v>
      </c>
      <c r="AB343" s="28">
        <f t="shared" si="106"/>
        <v>0</v>
      </c>
      <c r="AC343" s="28">
        <f t="shared" si="107"/>
        <v>0</v>
      </c>
      <c r="AD343" s="28">
        <f t="shared" si="108"/>
        <v>0.5</v>
      </c>
      <c r="AE343" s="28">
        <f t="shared" si="97"/>
        <v>0</v>
      </c>
      <c r="AF343" s="28">
        <f t="shared" si="98"/>
        <v>0</v>
      </c>
      <c r="AG343" s="28">
        <f t="shared" si="99"/>
        <v>0</v>
      </c>
      <c r="AH343" s="28">
        <f t="shared" si="100"/>
        <v>0</v>
      </c>
      <c r="AI343" s="28">
        <f t="shared" si="101"/>
        <v>0.625</v>
      </c>
      <c r="AJ343">
        <v>0</v>
      </c>
      <c r="AK343">
        <v>0</v>
      </c>
      <c r="AL343" s="30">
        <v>0</v>
      </c>
      <c r="AM343" s="30">
        <v>0</v>
      </c>
      <c r="AN343">
        <v>10</v>
      </c>
      <c r="AO343" s="22">
        <f t="shared" si="109"/>
        <v>0</v>
      </c>
      <c r="AP343" s="22">
        <f t="shared" si="110"/>
        <v>0</v>
      </c>
      <c r="AQ343" s="22">
        <f t="shared" si="111"/>
        <v>0</v>
      </c>
      <c r="AR343" s="22">
        <f t="shared" si="112"/>
        <v>0</v>
      </c>
      <c r="AS343" s="22">
        <f t="shared" si="113"/>
        <v>2.3978952727983707</v>
      </c>
    </row>
    <row r="344" spans="1:45" x14ac:dyDescent="0.25">
      <c r="A344" s="1" t="s">
        <v>10</v>
      </c>
      <c r="B344" s="11">
        <v>43298</v>
      </c>
      <c r="C344">
        <v>198</v>
      </c>
      <c r="D344">
        <v>2018</v>
      </c>
      <c r="E344">
        <v>1008</v>
      </c>
      <c r="F344" s="1">
        <v>58100</v>
      </c>
      <c r="G344" s="44">
        <f t="shared" si="103"/>
        <v>1</v>
      </c>
      <c r="H344" s="6">
        <v>42.394666666666666</v>
      </c>
      <c r="I344" s="6">
        <v>-80.883166666666668</v>
      </c>
      <c r="J344">
        <v>42.632766666666669</v>
      </c>
      <c r="K344">
        <v>-81.01636666666667</v>
      </c>
      <c r="L344">
        <v>41.96221666666667</v>
      </c>
      <c r="M344">
        <v>-80.744650000000007</v>
      </c>
      <c r="N344" s="22">
        <f t="shared" si="95"/>
        <v>0.27282567694409182</v>
      </c>
      <c r="O344" s="22">
        <f t="shared" si="96"/>
        <v>0.45409235783531871</v>
      </c>
      <c r="P344" s="22">
        <f t="shared" si="102"/>
        <v>0.27282567694409182</v>
      </c>
      <c r="Q344">
        <v>24.3</v>
      </c>
      <c r="R344">
        <v>14.5</v>
      </c>
      <c r="S344">
        <v>21</v>
      </c>
      <c r="T344" s="1">
        <v>15</v>
      </c>
      <c r="U344" s="1">
        <v>1</v>
      </c>
      <c r="V344">
        <v>2915</v>
      </c>
      <c r="W344" s="30">
        <v>20</v>
      </c>
      <c r="X344" s="30">
        <v>1.03</v>
      </c>
      <c r="Y344">
        <v>313</v>
      </c>
      <c r="Z344" s="28">
        <f t="shared" si="104"/>
        <v>0</v>
      </c>
      <c r="AA344" s="28">
        <f t="shared" si="105"/>
        <v>0.05</v>
      </c>
      <c r="AB344" s="28">
        <f t="shared" si="106"/>
        <v>15.35</v>
      </c>
      <c r="AC344" s="28">
        <f t="shared" si="107"/>
        <v>0</v>
      </c>
      <c r="AD344" s="28">
        <f t="shared" si="108"/>
        <v>0.05</v>
      </c>
      <c r="AE344" s="28">
        <f t="shared" si="97"/>
        <v>0</v>
      </c>
      <c r="AF344" s="28">
        <f t="shared" si="98"/>
        <v>3.1948881789137379E-3</v>
      </c>
      <c r="AG344" s="28">
        <f t="shared" si="99"/>
        <v>0.98083067092651754</v>
      </c>
      <c r="AH344" s="28">
        <f t="shared" si="100"/>
        <v>0</v>
      </c>
      <c r="AI344" s="28">
        <f t="shared" si="101"/>
        <v>3.1948881789137379E-3</v>
      </c>
      <c r="AJ344">
        <v>0</v>
      </c>
      <c r="AK344">
        <v>1</v>
      </c>
      <c r="AL344">
        <v>307</v>
      </c>
      <c r="AM344" s="30">
        <v>0</v>
      </c>
      <c r="AN344">
        <v>1</v>
      </c>
      <c r="AO344" s="22">
        <f t="shared" si="109"/>
        <v>0</v>
      </c>
      <c r="AP344" s="22">
        <f t="shared" si="110"/>
        <v>0.69314718055994529</v>
      </c>
      <c r="AQ344" s="22">
        <f t="shared" si="111"/>
        <v>5.730099782973574</v>
      </c>
      <c r="AR344" s="22">
        <f t="shared" si="112"/>
        <v>0</v>
      </c>
      <c r="AS344" s="22">
        <f t="shared" si="113"/>
        <v>0.69314718055994529</v>
      </c>
    </row>
    <row r="345" spans="1:45" x14ac:dyDescent="0.25">
      <c r="A345" s="1" t="s">
        <v>10</v>
      </c>
      <c r="B345" s="11">
        <v>43298</v>
      </c>
      <c r="C345">
        <v>198</v>
      </c>
      <c r="D345">
        <v>2018</v>
      </c>
      <c r="E345">
        <v>1009</v>
      </c>
      <c r="F345" s="1">
        <v>58100</v>
      </c>
      <c r="G345" s="44">
        <f t="shared" si="103"/>
        <v>1</v>
      </c>
      <c r="H345" s="6">
        <v>42.377833333333335</v>
      </c>
      <c r="I345" s="6">
        <v>-80.88666666666667</v>
      </c>
      <c r="J345">
        <v>42.632766666666669</v>
      </c>
      <c r="K345">
        <v>-81.01636666666667</v>
      </c>
      <c r="L345">
        <v>41.96221666666667</v>
      </c>
      <c r="M345">
        <v>-80.744650000000007</v>
      </c>
      <c r="N345" s="22">
        <f t="shared" ref="N345:N407" si="114">SQRT(((I345-K345)^2)+((H345-J345)^2))</f>
        <v>0.28602988383112099</v>
      </c>
      <c r="O345" s="22">
        <f t="shared" ref="O345:O407" si="115">SQRT(((I345-M345)^2)+((H345-L345)^2))</f>
        <v>0.43921059552590463</v>
      </c>
      <c r="P345" s="22">
        <f t="shared" si="102"/>
        <v>0.28602988383112099</v>
      </c>
      <c r="Q345">
        <v>24.3</v>
      </c>
      <c r="R345">
        <v>10.7</v>
      </c>
      <c r="S345">
        <v>21.1</v>
      </c>
      <c r="T345" s="1">
        <v>18</v>
      </c>
      <c r="U345" s="47">
        <v>1</v>
      </c>
      <c r="V345">
        <v>2949</v>
      </c>
      <c r="W345" s="30">
        <v>20</v>
      </c>
      <c r="X345" s="30">
        <v>1.04</v>
      </c>
      <c r="Y345">
        <v>25</v>
      </c>
      <c r="Z345" s="28">
        <f t="shared" si="104"/>
        <v>0</v>
      </c>
      <c r="AA345" s="28">
        <f t="shared" si="105"/>
        <v>0.2</v>
      </c>
      <c r="AB345" s="28">
        <f t="shared" si="106"/>
        <v>0.75</v>
      </c>
      <c r="AC345" s="28">
        <f t="shared" si="107"/>
        <v>0</v>
      </c>
      <c r="AD345" s="28">
        <f t="shared" si="108"/>
        <v>0.3</v>
      </c>
      <c r="AE345" s="28">
        <f t="shared" si="97"/>
        <v>0</v>
      </c>
      <c r="AF345" s="28">
        <f t="shared" si="98"/>
        <v>0.16</v>
      </c>
      <c r="AG345" s="28">
        <f t="shared" si="99"/>
        <v>0.6</v>
      </c>
      <c r="AH345" s="28">
        <f t="shared" si="100"/>
        <v>0</v>
      </c>
      <c r="AI345" s="28">
        <f t="shared" si="101"/>
        <v>0.24</v>
      </c>
      <c r="AJ345">
        <v>0</v>
      </c>
      <c r="AK345">
        <v>4</v>
      </c>
      <c r="AL345">
        <v>15</v>
      </c>
      <c r="AM345" s="30">
        <v>0</v>
      </c>
      <c r="AN345">
        <v>6</v>
      </c>
      <c r="AO345" s="22">
        <f t="shared" si="109"/>
        <v>0</v>
      </c>
      <c r="AP345" s="22">
        <f t="shared" si="110"/>
        <v>1.6094379124341003</v>
      </c>
      <c r="AQ345" s="22">
        <f t="shared" si="111"/>
        <v>2.7725887222397811</v>
      </c>
      <c r="AR345" s="22">
        <f t="shared" si="112"/>
        <v>0</v>
      </c>
      <c r="AS345" s="22">
        <f t="shared" si="113"/>
        <v>1.9459101490553132</v>
      </c>
    </row>
    <row r="346" spans="1:45" x14ac:dyDescent="0.25">
      <c r="A346" s="1" t="s">
        <v>10</v>
      </c>
      <c r="B346" s="11">
        <v>43298</v>
      </c>
      <c r="C346">
        <v>198</v>
      </c>
      <c r="D346">
        <v>2018</v>
      </c>
      <c r="E346">
        <v>2001</v>
      </c>
      <c r="F346" s="1">
        <v>57850</v>
      </c>
      <c r="G346" s="44">
        <f t="shared" si="103"/>
        <v>1</v>
      </c>
      <c r="H346" s="6">
        <v>42.564666666666668</v>
      </c>
      <c r="I346" s="6">
        <v>-81.469499999999996</v>
      </c>
      <c r="J346">
        <v>42.566916666666664</v>
      </c>
      <c r="K346">
        <v>-81.47208333333333</v>
      </c>
      <c r="L346">
        <v>41.819366666666667</v>
      </c>
      <c r="M346">
        <v>-81.155166666666673</v>
      </c>
      <c r="N346" s="22">
        <f t="shared" si="114"/>
        <v>3.4258007985138385E-3</v>
      </c>
      <c r="O346" s="22">
        <f t="shared" si="115"/>
        <v>0.80887423895463406</v>
      </c>
      <c r="P346" s="22">
        <f t="shared" si="102"/>
        <v>3.4258007985138385E-3</v>
      </c>
      <c r="Q346">
        <v>21.9</v>
      </c>
      <c r="R346">
        <v>14.3</v>
      </c>
      <c r="S346">
        <v>12.1</v>
      </c>
      <c r="T346" s="1">
        <v>5</v>
      </c>
      <c r="U346" s="1">
        <v>0</v>
      </c>
      <c r="V346">
        <v>2136</v>
      </c>
      <c r="W346" s="30">
        <v>20</v>
      </c>
      <c r="X346" s="30">
        <v>1</v>
      </c>
      <c r="Y346">
        <v>33</v>
      </c>
      <c r="Z346" s="28">
        <f t="shared" si="104"/>
        <v>0</v>
      </c>
      <c r="AA346" s="28">
        <f t="shared" si="105"/>
        <v>0.1</v>
      </c>
      <c r="AB346" s="28">
        <f t="shared" si="106"/>
        <v>0</v>
      </c>
      <c r="AC346" s="28">
        <f t="shared" si="107"/>
        <v>0</v>
      </c>
      <c r="AD346" s="28">
        <f t="shared" si="108"/>
        <v>0.85</v>
      </c>
      <c r="AE346" s="28">
        <f t="shared" si="97"/>
        <v>0</v>
      </c>
      <c r="AF346" s="28">
        <f t="shared" si="98"/>
        <v>6.0606060606060608E-2</v>
      </c>
      <c r="AG346" s="28">
        <f t="shared" si="99"/>
        <v>0</v>
      </c>
      <c r="AH346" s="28">
        <f t="shared" si="100"/>
        <v>0</v>
      </c>
      <c r="AI346" s="28">
        <f t="shared" si="101"/>
        <v>0.51515151515151514</v>
      </c>
      <c r="AJ346">
        <v>0</v>
      </c>
      <c r="AK346">
        <v>2</v>
      </c>
      <c r="AL346">
        <v>0</v>
      </c>
      <c r="AM346" s="30">
        <v>0</v>
      </c>
      <c r="AN346">
        <v>17</v>
      </c>
      <c r="AO346" s="22">
        <f t="shared" si="109"/>
        <v>0</v>
      </c>
      <c r="AP346" s="22">
        <f t="shared" si="110"/>
        <v>1.0986122886681098</v>
      </c>
      <c r="AQ346" s="22">
        <f t="shared" si="111"/>
        <v>0</v>
      </c>
      <c r="AR346" s="22">
        <f t="shared" si="112"/>
        <v>0</v>
      </c>
      <c r="AS346" s="22">
        <f t="shared" si="113"/>
        <v>2.8903717578961645</v>
      </c>
    </row>
    <row r="347" spans="1:45" x14ac:dyDescent="0.25">
      <c r="A347" s="1" t="s">
        <v>10</v>
      </c>
      <c r="B347" s="11">
        <v>43298</v>
      </c>
      <c r="C347">
        <v>198</v>
      </c>
      <c r="D347">
        <v>2018</v>
      </c>
      <c r="E347">
        <v>2002</v>
      </c>
      <c r="F347" s="1">
        <v>57850</v>
      </c>
      <c r="G347" s="44">
        <f t="shared" si="103"/>
        <v>1</v>
      </c>
      <c r="H347" s="6">
        <v>42.547833333333337</v>
      </c>
      <c r="I347" s="6">
        <v>-81.462333333333333</v>
      </c>
      <c r="J347">
        <v>42.566916666666664</v>
      </c>
      <c r="K347">
        <v>-81.47208333333333</v>
      </c>
      <c r="L347">
        <v>41.819366666666667</v>
      </c>
      <c r="M347">
        <v>-81.155166666666673</v>
      </c>
      <c r="N347" s="22">
        <f t="shared" si="114"/>
        <v>2.1429794938608734E-2</v>
      </c>
      <c r="O347" s="22">
        <f t="shared" si="115"/>
        <v>0.79057893062967199</v>
      </c>
      <c r="P347" s="22">
        <f t="shared" si="102"/>
        <v>2.1429794938608734E-2</v>
      </c>
      <c r="Q347">
        <v>23.3</v>
      </c>
      <c r="R347">
        <v>21.2</v>
      </c>
      <c r="S347">
        <v>14.9</v>
      </c>
      <c r="T347" s="1">
        <v>8</v>
      </c>
      <c r="U347" s="1">
        <v>0</v>
      </c>
      <c r="V347">
        <v>2215</v>
      </c>
      <c r="W347" s="30">
        <v>20</v>
      </c>
      <c r="X347" s="30">
        <v>1.08</v>
      </c>
      <c r="Y347">
        <v>40</v>
      </c>
      <c r="Z347" s="28">
        <f t="shared" si="104"/>
        <v>0.2</v>
      </c>
      <c r="AA347" s="28">
        <f t="shared" si="105"/>
        <v>0.1</v>
      </c>
      <c r="AB347" s="28">
        <f t="shared" si="106"/>
        <v>0</v>
      </c>
      <c r="AC347" s="28">
        <f t="shared" si="107"/>
        <v>0</v>
      </c>
      <c r="AD347" s="28">
        <f t="shared" si="108"/>
        <v>0.3</v>
      </c>
      <c r="AE347" s="28">
        <f t="shared" si="97"/>
        <v>0.1</v>
      </c>
      <c r="AF347" s="28">
        <f t="shared" si="98"/>
        <v>0.05</v>
      </c>
      <c r="AG347" s="28">
        <f t="shared" si="99"/>
        <v>0</v>
      </c>
      <c r="AH347" s="28">
        <f t="shared" si="100"/>
        <v>0</v>
      </c>
      <c r="AI347" s="28">
        <f t="shared" si="101"/>
        <v>0.15</v>
      </c>
      <c r="AJ347">
        <v>4</v>
      </c>
      <c r="AK347">
        <v>2</v>
      </c>
      <c r="AL347">
        <v>0</v>
      </c>
      <c r="AM347" s="30">
        <v>0</v>
      </c>
      <c r="AN347">
        <v>6</v>
      </c>
      <c r="AO347" s="22">
        <f t="shared" si="109"/>
        <v>1.6094379124341003</v>
      </c>
      <c r="AP347" s="22">
        <f t="shared" si="110"/>
        <v>1.0986122886681098</v>
      </c>
      <c r="AQ347" s="22">
        <f t="shared" si="111"/>
        <v>0</v>
      </c>
      <c r="AR347" s="22">
        <f t="shared" si="112"/>
        <v>0</v>
      </c>
      <c r="AS347" s="22">
        <f t="shared" si="113"/>
        <v>1.9459101490553132</v>
      </c>
    </row>
    <row r="348" spans="1:45" x14ac:dyDescent="0.25">
      <c r="A348" s="1" t="s">
        <v>10</v>
      </c>
      <c r="B348" s="11">
        <v>43298</v>
      </c>
      <c r="C348">
        <v>198</v>
      </c>
      <c r="D348">
        <v>2018</v>
      </c>
      <c r="E348">
        <v>2003</v>
      </c>
      <c r="F348" s="1">
        <v>57850</v>
      </c>
      <c r="G348" s="44">
        <f t="shared" si="103"/>
        <v>1</v>
      </c>
      <c r="H348" s="6">
        <v>42.474333333333334</v>
      </c>
      <c r="I348" s="6">
        <v>-81.433499999999995</v>
      </c>
      <c r="J348">
        <v>42.566916666666664</v>
      </c>
      <c r="K348">
        <v>-81.47208333333333</v>
      </c>
      <c r="L348">
        <v>41.819366666666667</v>
      </c>
      <c r="M348">
        <v>-81.155166666666673</v>
      </c>
      <c r="N348" s="22">
        <f t="shared" si="114"/>
        <v>0.1003012822561196</v>
      </c>
      <c r="O348" s="22">
        <f t="shared" si="115"/>
        <v>0.71165355257237528</v>
      </c>
      <c r="P348" s="22">
        <f t="shared" si="102"/>
        <v>0.1003012822561196</v>
      </c>
      <c r="Q348">
        <v>23.8</v>
      </c>
      <c r="R348">
        <v>23.8</v>
      </c>
      <c r="S348">
        <v>20.8</v>
      </c>
      <c r="T348" s="1">
        <v>6</v>
      </c>
      <c r="U348" s="1">
        <v>0</v>
      </c>
      <c r="V348">
        <v>2334</v>
      </c>
      <c r="W348" s="30">
        <v>20</v>
      </c>
      <c r="X348" s="30">
        <v>0.99</v>
      </c>
      <c r="Y348">
        <v>21</v>
      </c>
      <c r="Z348" s="28">
        <f t="shared" si="104"/>
        <v>0</v>
      </c>
      <c r="AA348" s="28">
        <f t="shared" si="105"/>
        <v>0</v>
      </c>
      <c r="AB348" s="28">
        <f t="shared" si="106"/>
        <v>0</v>
      </c>
      <c r="AC348" s="28">
        <f t="shared" si="107"/>
        <v>0</v>
      </c>
      <c r="AD348" s="28">
        <f t="shared" si="108"/>
        <v>0.05</v>
      </c>
      <c r="AE348" s="28">
        <f t="shared" si="97"/>
        <v>0</v>
      </c>
      <c r="AF348" s="28">
        <f t="shared" si="98"/>
        <v>0</v>
      </c>
      <c r="AG348" s="28">
        <f t="shared" si="99"/>
        <v>0</v>
      </c>
      <c r="AH348" s="28">
        <f t="shared" si="100"/>
        <v>0</v>
      </c>
      <c r="AI348" s="28">
        <f t="shared" si="101"/>
        <v>4.7619047619047616E-2</v>
      </c>
      <c r="AJ348">
        <v>0</v>
      </c>
      <c r="AK348">
        <v>0</v>
      </c>
      <c r="AL348">
        <v>0</v>
      </c>
      <c r="AM348" s="30">
        <v>0</v>
      </c>
      <c r="AN348">
        <v>1</v>
      </c>
      <c r="AO348" s="22">
        <f t="shared" si="109"/>
        <v>0</v>
      </c>
      <c r="AP348" s="22">
        <f t="shared" si="110"/>
        <v>0</v>
      </c>
      <c r="AQ348" s="22">
        <f t="shared" si="111"/>
        <v>0</v>
      </c>
      <c r="AR348" s="22">
        <f t="shared" si="112"/>
        <v>0</v>
      </c>
      <c r="AS348" s="22">
        <f t="shared" si="113"/>
        <v>0.69314718055994529</v>
      </c>
    </row>
    <row r="349" spans="1:45" x14ac:dyDescent="0.25">
      <c r="A349" s="1" t="s">
        <v>10</v>
      </c>
      <c r="B349" s="11">
        <v>43299</v>
      </c>
      <c r="C349">
        <v>199</v>
      </c>
      <c r="D349">
        <v>2018</v>
      </c>
      <c r="E349">
        <v>2004</v>
      </c>
      <c r="F349" s="1">
        <v>57850</v>
      </c>
      <c r="G349" s="44">
        <f t="shared" si="103"/>
        <v>1</v>
      </c>
      <c r="H349" s="6">
        <v>42.460666666666668</v>
      </c>
      <c r="I349" s="6">
        <v>-81.418666666666667</v>
      </c>
      <c r="J349">
        <v>42.566916666666664</v>
      </c>
      <c r="K349">
        <v>-81.47208333333333</v>
      </c>
      <c r="L349">
        <v>41.819366666666667</v>
      </c>
      <c r="M349">
        <v>-81.155166666666673</v>
      </c>
      <c r="N349" s="22">
        <f t="shared" si="114"/>
        <v>0.11892183473936374</v>
      </c>
      <c r="O349" s="22">
        <f t="shared" si="115"/>
        <v>0.69332383487083293</v>
      </c>
      <c r="P349" s="22">
        <f t="shared" si="102"/>
        <v>0.11892183473936374</v>
      </c>
      <c r="Q349">
        <v>23.9</v>
      </c>
      <c r="R349">
        <v>22.9</v>
      </c>
      <c r="S349">
        <v>21.1</v>
      </c>
      <c r="T349" s="1">
        <v>12</v>
      </c>
      <c r="U349" s="1">
        <v>0</v>
      </c>
      <c r="V349">
        <v>2412</v>
      </c>
      <c r="W349" s="30">
        <v>20</v>
      </c>
      <c r="X349" s="30">
        <v>1.05</v>
      </c>
      <c r="Y349">
        <v>39</v>
      </c>
      <c r="Z349" s="28">
        <f t="shared" si="104"/>
        <v>0.05</v>
      </c>
      <c r="AA349" s="28">
        <f t="shared" si="105"/>
        <v>0</v>
      </c>
      <c r="AB349" s="28">
        <f t="shared" si="106"/>
        <v>0</v>
      </c>
      <c r="AC349" s="28">
        <f t="shared" si="107"/>
        <v>0</v>
      </c>
      <c r="AD349" s="28">
        <f t="shared" si="108"/>
        <v>1.1000000000000001</v>
      </c>
      <c r="AE349" s="28">
        <f t="shared" si="97"/>
        <v>2.564102564102564E-2</v>
      </c>
      <c r="AF349" s="28">
        <f t="shared" si="98"/>
        <v>0</v>
      </c>
      <c r="AG349" s="28">
        <f t="shared" si="99"/>
        <v>0</v>
      </c>
      <c r="AH349" s="28">
        <f t="shared" si="100"/>
        <v>0</v>
      </c>
      <c r="AI349" s="28">
        <f t="shared" si="101"/>
        <v>0.5641025641025641</v>
      </c>
      <c r="AJ349">
        <v>1</v>
      </c>
      <c r="AK349">
        <v>0</v>
      </c>
      <c r="AL349">
        <v>0</v>
      </c>
      <c r="AM349" s="30">
        <v>0</v>
      </c>
      <c r="AN349">
        <v>22</v>
      </c>
      <c r="AO349" s="22">
        <f t="shared" si="109"/>
        <v>0.69314718055994529</v>
      </c>
      <c r="AP349" s="22">
        <f t="shared" si="110"/>
        <v>0</v>
      </c>
      <c r="AQ349" s="22">
        <f t="shared" si="111"/>
        <v>0</v>
      </c>
      <c r="AR349" s="22">
        <f t="shared" si="112"/>
        <v>0</v>
      </c>
      <c r="AS349" s="22">
        <f t="shared" si="113"/>
        <v>3.1354942159291497</v>
      </c>
    </row>
    <row r="350" spans="1:45" x14ac:dyDescent="0.25">
      <c r="A350" s="1" t="s">
        <v>10</v>
      </c>
      <c r="B350" s="11">
        <v>43299</v>
      </c>
      <c r="C350">
        <v>199</v>
      </c>
      <c r="D350">
        <v>2018</v>
      </c>
      <c r="E350">
        <v>2005</v>
      </c>
      <c r="F350" s="1">
        <v>57850</v>
      </c>
      <c r="G350" s="44">
        <f t="shared" si="103"/>
        <v>1</v>
      </c>
      <c r="H350" s="6">
        <v>42.476333333333336</v>
      </c>
      <c r="I350" s="6">
        <v>-81.415999999999997</v>
      </c>
      <c r="J350">
        <v>42.566916666666664</v>
      </c>
      <c r="K350">
        <v>-81.47208333333333</v>
      </c>
      <c r="L350">
        <v>41.819366666666667</v>
      </c>
      <c r="M350">
        <v>-81.155166666666673</v>
      </c>
      <c r="N350" s="22">
        <f t="shared" si="114"/>
        <v>0.10653957272091225</v>
      </c>
      <c r="O350" s="22">
        <f t="shared" si="115"/>
        <v>0.70685163145379171</v>
      </c>
      <c r="P350" s="22">
        <f t="shared" si="102"/>
        <v>0.10653957272091225</v>
      </c>
      <c r="Q350">
        <v>23.7</v>
      </c>
      <c r="R350">
        <v>19</v>
      </c>
      <c r="S350">
        <v>20.6</v>
      </c>
      <c r="T350" s="1">
        <v>16</v>
      </c>
      <c r="U350" s="1">
        <v>1</v>
      </c>
      <c r="V350">
        <v>2452</v>
      </c>
      <c r="W350" s="30">
        <v>20</v>
      </c>
      <c r="X350" s="30">
        <v>1.0900000000000001</v>
      </c>
      <c r="Y350">
        <v>35</v>
      </c>
      <c r="Z350" s="28">
        <f t="shared" si="104"/>
        <v>0</v>
      </c>
      <c r="AA350" s="28">
        <f t="shared" si="105"/>
        <v>0.1</v>
      </c>
      <c r="AB350" s="28">
        <f t="shared" si="106"/>
        <v>0.05</v>
      </c>
      <c r="AC350" s="28">
        <f t="shared" si="107"/>
        <v>0</v>
      </c>
      <c r="AD350" s="28">
        <f t="shared" si="108"/>
        <v>0.95</v>
      </c>
      <c r="AE350" s="28">
        <f t="shared" si="97"/>
        <v>0</v>
      </c>
      <c r="AF350" s="28">
        <f t="shared" si="98"/>
        <v>5.7142857142857141E-2</v>
      </c>
      <c r="AG350" s="28">
        <f t="shared" si="99"/>
        <v>2.8571428571428571E-2</v>
      </c>
      <c r="AH350" s="28">
        <f t="shared" si="100"/>
        <v>0</v>
      </c>
      <c r="AI350" s="28">
        <f t="shared" si="101"/>
        <v>0.54285714285714282</v>
      </c>
      <c r="AJ350">
        <v>0</v>
      </c>
      <c r="AK350">
        <v>2</v>
      </c>
      <c r="AL350">
        <v>1</v>
      </c>
      <c r="AM350" s="30">
        <v>0</v>
      </c>
      <c r="AN350">
        <v>19</v>
      </c>
      <c r="AO350" s="22">
        <f t="shared" si="109"/>
        <v>0</v>
      </c>
      <c r="AP350" s="22">
        <f t="shared" si="110"/>
        <v>1.0986122886681098</v>
      </c>
      <c r="AQ350" s="22">
        <f t="shared" si="111"/>
        <v>0.69314718055994529</v>
      </c>
      <c r="AR350" s="22">
        <f t="shared" si="112"/>
        <v>0</v>
      </c>
      <c r="AS350" s="22">
        <f t="shared" si="113"/>
        <v>2.9957322735539909</v>
      </c>
    </row>
    <row r="351" spans="1:45" x14ac:dyDescent="0.25">
      <c r="A351" s="1" t="s">
        <v>10</v>
      </c>
      <c r="B351" s="11">
        <v>43299</v>
      </c>
      <c r="C351">
        <v>199</v>
      </c>
      <c r="D351">
        <v>2018</v>
      </c>
      <c r="E351">
        <v>2006</v>
      </c>
      <c r="F351" s="1">
        <v>57850</v>
      </c>
      <c r="G351" s="44">
        <f t="shared" si="103"/>
        <v>1</v>
      </c>
      <c r="H351" s="6">
        <v>42.335000000000001</v>
      </c>
      <c r="I351" s="6">
        <v>-81.381833333333333</v>
      </c>
      <c r="J351">
        <v>42.566916666666664</v>
      </c>
      <c r="K351">
        <v>-81.47208333333333</v>
      </c>
      <c r="L351">
        <v>41.819366666666667</v>
      </c>
      <c r="M351">
        <v>-81.155166666666673</v>
      </c>
      <c r="N351" s="22">
        <f t="shared" si="114"/>
        <v>0.2488581981325424</v>
      </c>
      <c r="O351" s="22">
        <f t="shared" si="115"/>
        <v>0.56325439387741949</v>
      </c>
      <c r="P351" s="22">
        <f t="shared" si="102"/>
        <v>0.2488581981325424</v>
      </c>
      <c r="Q351">
        <v>23.7</v>
      </c>
      <c r="R351">
        <v>23.7</v>
      </c>
      <c r="S351">
        <v>22.8</v>
      </c>
      <c r="T351" s="1">
        <v>7</v>
      </c>
      <c r="U351" s="1">
        <v>0</v>
      </c>
      <c r="V351">
        <v>2627</v>
      </c>
      <c r="W351" s="30">
        <v>20</v>
      </c>
      <c r="X351" s="30">
        <v>1.05</v>
      </c>
      <c r="Y351">
        <v>72</v>
      </c>
      <c r="Z351" s="28">
        <f t="shared" si="104"/>
        <v>0.25</v>
      </c>
      <c r="AA351" s="28">
        <f t="shared" si="105"/>
        <v>0</v>
      </c>
      <c r="AB351" s="28">
        <f t="shared" si="106"/>
        <v>0</v>
      </c>
      <c r="AC351" s="28">
        <f t="shared" si="107"/>
        <v>0</v>
      </c>
      <c r="AD351" s="28">
        <f t="shared" si="108"/>
        <v>3.05</v>
      </c>
      <c r="AE351" s="28">
        <f t="shared" si="97"/>
        <v>6.9444444444444448E-2</v>
      </c>
      <c r="AF351" s="28">
        <f t="shared" si="98"/>
        <v>0</v>
      </c>
      <c r="AG351" s="28">
        <f t="shared" si="99"/>
        <v>0</v>
      </c>
      <c r="AH351" s="28">
        <f t="shared" si="100"/>
        <v>0</v>
      </c>
      <c r="AI351" s="28">
        <f t="shared" si="101"/>
        <v>0.84722222222222221</v>
      </c>
      <c r="AJ351">
        <v>5</v>
      </c>
      <c r="AK351">
        <v>0</v>
      </c>
      <c r="AL351">
        <v>0</v>
      </c>
      <c r="AM351" s="30">
        <v>0</v>
      </c>
      <c r="AN351">
        <v>61</v>
      </c>
      <c r="AO351" s="22">
        <f t="shared" si="109"/>
        <v>1.791759469228055</v>
      </c>
      <c r="AP351" s="22">
        <f t="shared" si="110"/>
        <v>0</v>
      </c>
      <c r="AQ351" s="22">
        <f t="shared" si="111"/>
        <v>0</v>
      </c>
      <c r="AR351" s="22">
        <f t="shared" si="112"/>
        <v>0</v>
      </c>
      <c r="AS351" s="22">
        <f t="shared" si="113"/>
        <v>4.1271343850450917</v>
      </c>
    </row>
    <row r="352" spans="1:45" x14ac:dyDescent="0.25">
      <c r="A352" s="1" t="s">
        <v>10</v>
      </c>
      <c r="B352" s="11">
        <v>43299</v>
      </c>
      <c r="C352">
        <v>199</v>
      </c>
      <c r="D352">
        <v>2018</v>
      </c>
      <c r="E352">
        <v>2007</v>
      </c>
      <c r="F352" s="1">
        <v>57850</v>
      </c>
      <c r="G352" s="44">
        <f t="shared" si="103"/>
        <v>1</v>
      </c>
      <c r="H352" s="6">
        <v>42.3185</v>
      </c>
      <c r="I352" s="6">
        <v>-81.373333333333335</v>
      </c>
      <c r="J352">
        <v>42.566916666666664</v>
      </c>
      <c r="K352">
        <v>-81.47208333333333</v>
      </c>
      <c r="L352">
        <v>41.819366666666667</v>
      </c>
      <c r="M352">
        <v>-81.155166666666673</v>
      </c>
      <c r="N352" s="22">
        <f t="shared" si="114"/>
        <v>0.26732452707855947</v>
      </c>
      <c r="O352" s="22">
        <f t="shared" si="115"/>
        <v>0.54473000549711437</v>
      </c>
      <c r="P352" s="22">
        <f t="shared" si="102"/>
        <v>0.26732452707855947</v>
      </c>
      <c r="S352">
        <v>22.7</v>
      </c>
      <c r="T352" s="1">
        <v>12</v>
      </c>
      <c r="U352" s="1">
        <v>0</v>
      </c>
      <c r="V352">
        <v>2703</v>
      </c>
      <c r="W352" s="30">
        <v>20</v>
      </c>
      <c r="X352" s="30">
        <v>0.95</v>
      </c>
      <c r="Y352">
        <v>61</v>
      </c>
      <c r="Z352" s="28">
        <f t="shared" si="104"/>
        <v>0.05</v>
      </c>
      <c r="AA352" s="28">
        <f t="shared" si="105"/>
        <v>0.1</v>
      </c>
      <c r="AB352" s="28">
        <f t="shared" si="106"/>
        <v>0</v>
      </c>
      <c r="AC352" s="28">
        <f t="shared" si="107"/>
        <v>0</v>
      </c>
      <c r="AD352" s="28">
        <f t="shared" si="108"/>
        <v>2.6</v>
      </c>
      <c r="AE352" s="28">
        <f t="shared" si="97"/>
        <v>1.6393442622950821E-2</v>
      </c>
      <c r="AF352" s="28">
        <f t="shared" si="98"/>
        <v>3.2786885245901641E-2</v>
      </c>
      <c r="AG352" s="28">
        <f t="shared" si="99"/>
        <v>0</v>
      </c>
      <c r="AH352" s="28">
        <f t="shared" si="100"/>
        <v>0</v>
      </c>
      <c r="AI352" s="28">
        <f t="shared" si="101"/>
        <v>0.85245901639344257</v>
      </c>
      <c r="AJ352">
        <v>1</v>
      </c>
      <c r="AK352">
        <v>2</v>
      </c>
      <c r="AL352">
        <v>0</v>
      </c>
      <c r="AM352" s="30">
        <v>0</v>
      </c>
      <c r="AN352">
        <v>52</v>
      </c>
      <c r="AO352" s="22">
        <f t="shared" si="109"/>
        <v>0.69314718055994529</v>
      </c>
      <c r="AP352" s="22">
        <f t="shared" si="110"/>
        <v>1.0986122886681098</v>
      </c>
      <c r="AQ352" s="22">
        <f t="shared" si="111"/>
        <v>0</v>
      </c>
      <c r="AR352" s="22">
        <f t="shared" si="112"/>
        <v>0</v>
      </c>
      <c r="AS352" s="22">
        <f t="shared" si="113"/>
        <v>3.970291913552122</v>
      </c>
    </row>
    <row r="353" spans="1:45" x14ac:dyDescent="0.25">
      <c r="A353" s="1" t="s">
        <v>10</v>
      </c>
      <c r="B353" s="11">
        <v>43299</v>
      </c>
      <c r="C353">
        <v>199</v>
      </c>
      <c r="D353">
        <v>2018</v>
      </c>
      <c r="E353">
        <v>2008</v>
      </c>
      <c r="F353" s="1">
        <v>57850</v>
      </c>
      <c r="G353" s="44">
        <f t="shared" si="103"/>
        <v>1</v>
      </c>
      <c r="H353" s="6">
        <v>42.330500000000001</v>
      </c>
      <c r="I353" s="6">
        <v>-81.369500000000002</v>
      </c>
      <c r="J353">
        <v>42.566916666666664</v>
      </c>
      <c r="K353">
        <v>-81.47208333333333</v>
      </c>
      <c r="L353">
        <v>41.819366666666667</v>
      </c>
      <c r="M353">
        <v>-81.155166666666673</v>
      </c>
      <c r="N353" s="22">
        <f t="shared" si="114"/>
        <v>0.25771336898879138</v>
      </c>
      <c r="O353" s="22">
        <f t="shared" si="115"/>
        <v>0.55425270610274913</v>
      </c>
      <c r="P353" s="22">
        <f t="shared" si="102"/>
        <v>0.25771336898879138</v>
      </c>
      <c r="Q353">
        <v>23.6</v>
      </c>
      <c r="R353">
        <v>19.399999999999999</v>
      </c>
      <c r="S353">
        <v>22.7</v>
      </c>
      <c r="T353" s="1">
        <v>16</v>
      </c>
      <c r="U353" s="1">
        <v>1</v>
      </c>
      <c r="V353">
        <v>2743</v>
      </c>
      <c r="W353" s="30">
        <v>20</v>
      </c>
      <c r="X353" s="30">
        <v>1.02</v>
      </c>
      <c r="Y353">
        <v>60</v>
      </c>
      <c r="Z353" s="28">
        <f t="shared" si="104"/>
        <v>0</v>
      </c>
      <c r="AA353" s="28">
        <f t="shared" si="105"/>
        <v>0.3</v>
      </c>
      <c r="AB353" s="28">
        <f t="shared" si="106"/>
        <v>0.05</v>
      </c>
      <c r="AC353" s="28">
        <f t="shared" si="107"/>
        <v>0</v>
      </c>
      <c r="AD353" s="28">
        <f t="shared" si="108"/>
        <v>2.65</v>
      </c>
      <c r="AE353" s="28">
        <f t="shared" si="97"/>
        <v>0</v>
      </c>
      <c r="AF353" s="28">
        <f t="shared" si="98"/>
        <v>0.1</v>
      </c>
      <c r="AG353" s="28">
        <f t="shared" si="99"/>
        <v>1.6666666666666666E-2</v>
      </c>
      <c r="AH353" s="28">
        <f t="shared" si="100"/>
        <v>0</v>
      </c>
      <c r="AI353" s="28">
        <f t="shared" si="101"/>
        <v>0.8833333333333333</v>
      </c>
      <c r="AJ353">
        <v>0</v>
      </c>
      <c r="AK353">
        <v>6</v>
      </c>
      <c r="AL353">
        <v>1</v>
      </c>
      <c r="AM353" s="30">
        <v>0</v>
      </c>
      <c r="AN353">
        <v>53</v>
      </c>
      <c r="AO353" s="22">
        <f t="shared" si="109"/>
        <v>0</v>
      </c>
      <c r="AP353" s="22">
        <f t="shared" si="110"/>
        <v>1.9459101490553132</v>
      </c>
      <c r="AQ353" s="22">
        <f t="shared" si="111"/>
        <v>0.69314718055994529</v>
      </c>
      <c r="AR353" s="22">
        <f t="shared" si="112"/>
        <v>0</v>
      </c>
      <c r="AS353" s="22">
        <f t="shared" si="113"/>
        <v>3.9889840465642745</v>
      </c>
    </row>
    <row r="354" spans="1:45" x14ac:dyDescent="0.25">
      <c r="A354" s="1" t="s">
        <v>10</v>
      </c>
      <c r="B354" s="11">
        <v>43299</v>
      </c>
      <c r="C354">
        <v>199</v>
      </c>
      <c r="D354">
        <v>2018</v>
      </c>
      <c r="E354">
        <v>2009</v>
      </c>
      <c r="F354" s="1">
        <v>57850</v>
      </c>
      <c r="G354" s="44">
        <f t="shared" si="103"/>
        <v>1</v>
      </c>
      <c r="H354" s="6">
        <v>42.313333333333333</v>
      </c>
      <c r="I354" s="6">
        <v>-81.367166666666662</v>
      </c>
      <c r="J354">
        <v>42.566916666666664</v>
      </c>
      <c r="K354">
        <v>-81.47208333333333</v>
      </c>
      <c r="L354">
        <v>41.819366666666667</v>
      </c>
      <c r="M354">
        <v>-81.155166666666673</v>
      </c>
      <c r="N354" s="22">
        <f t="shared" si="114"/>
        <v>0.27443034432964625</v>
      </c>
      <c r="O354" s="22">
        <f t="shared" si="115"/>
        <v>0.53753796868479142</v>
      </c>
      <c r="P354" s="22">
        <f t="shared" si="102"/>
        <v>0.27443034432964625</v>
      </c>
      <c r="S354">
        <v>22.9</v>
      </c>
      <c r="T354" s="1">
        <v>18</v>
      </c>
      <c r="U354" s="47">
        <v>1</v>
      </c>
      <c r="V354">
        <v>2818</v>
      </c>
      <c r="W354" s="30">
        <v>20</v>
      </c>
      <c r="X354" s="30">
        <v>0.94</v>
      </c>
      <c r="Y354">
        <v>89</v>
      </c>
      <c r="Z354" s="28">
        <f t="shared" si="104"/>
        <v>0</v>
      </c>
      <c r="AA354" s="28">
        <f t="shared" si="105"/>
        <v>0.45</v>
      </c>
      <c r="AB354" s="28">
        <f t="shared" si="106"/>
        <v>1.1499999999999999</v>
      </c>
      <c r="AC354" s="28">
        <f t="shared" si="107"/>
        <v>0</v>
      </c>
      <c r="AD354" s="28">
        <f t="shared" si="108"/>
        <v>2.85</v>
      </c>
      <c r="AE354" s="28">
        <f t="shared" si="97"/>
        <v>0</v>
      </c>
      <c r="AF354" s="28">
        <f t="shared" si="98"/>
        <v>0.10112359550561797</v>
      </c>
      <c r="AG354" s="28">
        <f t="shared" si="99"/>
        <v>0.25842696629213485</v>
      </c>
      <c r="AH354" s="28">
        <f t="shared" si="100"/>
        <v>0</v>
      </c>
      <c r="AI354" s="28">
        <f t="shared" si="101"/>
        <v>0.6404494382022472</v>
      </c>
      <c r="AJ354">
        <v>0</v>
      </c>
      <c r="AK354">
        <v>9</v>
      </c>
      <c r="AL354">
        <v>23</v>
      </c>
      <c r="AM354">
        <v>0</v>
      </c>
      <c r="AN354">
        <v>57</v>
      </c>
      <c r="AO354" s="22">
        <f t="shared" si="109"/>
        <v>0</v>
      </c>
      <c r="AP354" s="22">
        <f t="shared" si="110"/>
        <v>2.3025850929940459</v>
      </c>
      <c r="AQ354" s="22">
        <f t="shared" si="111"/>
        <v>3.1780538303479458</v>
      </c>
      <c r="AR354" s="22">
        <f t="shared" si="112"/>
        <v>0</v>
      </c>
      <c r="AS354" s="22">
        <f t="shared" si="113"/>
        <v>4.0604430105464191</v>
      </c>
    </row>
    <row r="355" spans="1:45" x14ac:dyDescent="0.25">
      <c r="A355" s="1" t="s">
        <v>10</v>
      </c>
      <c r="B355" s="11">
        <v>43299</v>
      </c>
      <c r="C355">
        <v>199</v>
      </c>
      <c r="D355">
        <v>2018</v>
      </c>
      <c r="E355">
        <v>3001</v>
      </c>
      <c r="F355" s="1">
        <v>57600</v>
      </c>
      <c r="G355" s="44">
        <f t="shared" si="103"/>
        <v>0</v>
      </c>
      <c r="H355" s="6">
        <v>42.07</v>
      </c>
      <c r="I355" s="6">
        <v>-81.744166666666672</v>
      </c>
      <c r="J355">
        <v>42.261233333333337</v>
      </c>
      <c r="K355">
        <v>-81.829883333333328</v>
      </c>
      <c r="L355">
        <v>41.621000000000002</v>
      </c>
      <c r="M355">
        <v>-81.539483333333337</v>
      </c>
      <c r="N355" s="22">
        <f t="shared" si="114"/>
        <v>0.2095651085515467</v>
      </c>
      <c r="O355" s="22">
        <f t="shared" si="115"/>
        <v>0.49345340909192581</v>
      </c>
      <c r="P355" s="22">
        <f t="shared" si="102"/>
        <v>0.2095651085515467</v>
      </c>
      <c r="Q355">
        <v>24.3</v>
      </c>
      <c r="R355">
        <v>24.1</v>
      </c>
      <c r="S355">
        <v>24.7</v>
      </c>
      <c r="U355" s="1" t="s">
        <v>46</v>
      </c>
      <c r="V355">
        <v>2117</v>
      </c>
      <c r="W355" s="30">
        <v>20</v>
      </c>
      <c r="X355" s="30">
        <v>1.03</v>
      </c>
      <c r="Y355">
        <v>101</v>
      </c>
      <c r="Z355" s="28">
        <f t="shared" si="104"/>
        <v>0.1</v>
      </c>
      <c r="AA355" s="28">
        <f t="shared" si="105"/>
        <v>0.65</v>
      </c>
      <c r="AB355" s="28">
        <f t="shared" si="106"/>
        <v>0</v>
      </c>
      <c r="AC355" s="28">
        <f t="shared" si="107"/>
        <v>0</v>
      </c>
      <c r="AD355" s="28">
        <f t="shared" si="108"/>
        <v>3.95</v>
      </c>
      <c r="AE355" s="28">
        <f t="shared" si="97"/>
        <v>1.9801980198019802E-2</v>
      </c>
      <c r="AF355" s="28">
        <f t="shared" si="98"/>
        <v>0.12871287128712872</v>
      </c>
      <c r="AG355" s="28">
        <f t="shared" si="99"/>
        <v>0</v>
      </c>
      <c r="AH355" s="28">
        <f t="shared" si="100"/>
        <v>0</v>
      </c>
      <c r="AI355" s="28">
        <f t="shared" si="101"/>
        <v>0.78217821782178221</v>
      </c>
      <c r="AJ355">
        <v>2</v>
      </c>
      <c r="AK355">
        <v>13</v>
      </c>
      <c r="AL355">
        <v>0</v>
      </c>
      <c r="AM355">
        <v>0</v>
      </c>
      <c r="AN355">
        <v>79</v>
      </c>
      <c r="AO355" s="22">
        <f t="shared" si="109"/>
        <v>1.0986122886681098</v>
      </c>
      <c r="AP355" s="22">
        <f t="shared" si="110"/>
        <v>2.6390573296152584</v>
      </c>
      <c r="AQ355" s="22">
        <f t="shared" si="111"/>
        <v>0</v>
      </c>
      <c r="AR355" s="22">
        <f t="shared" si="112"/>
        <v>0</v>
      </c>
      <c r="AS355" s="22">
        <f t="shared" si="113"/>
        <v>4.3820266346738812</v>
      </c>
    </row>
    <row r="356" spans="1:45" x14ac:dyDescent="0.25">
      <c r="A356" s="1" t="s">
        <v>10</v>
      </c>
      <c r="B356" s="11">
        <v>43299</v>
      </c>
      <c r="C356">
        <v>199</v>
      </c>
      <c r="D356">
        <v>2018</v>
      </c>
      <c r="E356">
        <v>3002</v>
      </c>
      <c r="F356" s="1">
        <v>57600</v>
      </c>
      <c r="G356" s="44">
        <f t="shared" si="103"/>
        <v>0</v>
      </c>
      <c r="H356" s="6">
        <v>42.055500000000002</v>
      </c>
      <c r="I356" s="6">
        <v>-81.738</v>
      </c>
      <c r="J356">
        <v>42.261233333333337</v>
      </c>
      <c r="K356">
        <v>-81.829883333333328</v>
      </c>
      <c r="L356">
        <v>41.621000000000002</v>
      </c>
      <c r="M356">
        <v>-81.539483333333337</v>
      </c>
      <c r="N356" s="22">
        <f t="shared" si="114"/>
        <v>0.22531922108175434</v>
      </c>
      <c r="O356" s="22">
        <f t="shared" si="115"/>
        <v>0.47770191222606895</v>
      </c>
      <c r="P356" s="22">
        <f t="shared" si="102"/>
        <v>0.22531922108175434</v>
      </c>
      <c r="S356">
        <v>24.8</v>
      </c>
      <c r="T356">
        <v>12</v>
      </c>
      <c r="U356" s="1">
        <v>0</v>
      </c>
      <c r="V356">
        <v>2149</v>
      </c>
      <c r="W356" s="30">
        <v>20</v>
      </c>
      <c r="X356" s="30">
        <v>1.08</v>
      </c>
      <c r="Y356">
        <v>29</v>
      </c>
      <c r="Z356" s="28">
        <f t="shared" si="104"/>
        <v>1.05</v>
      </c>
      <c r="AA356" s="28">
        <f t="shared" si="105"/>
        <v>0.15</v>
      </c>
      <c r="AB356" s="28">
        <f t="shared" si="106"/>
        <v>0</v>
      </c>
      <c r="AC356" s="28">
        <f t="shared" si="107"/>
        <v>0</v>
      </c>
      <c r="AD356" s="28">
        <f t="shared" si="108"/>
        <v>0.2</v>
      </c>
      <c r="AE356" s="28">
        <f t="shared" si="97"/>
        <v>0.72413793103448276</v>
      </c>
      <c r="AF356" s="28">
        <f t="shared" si="98"/>
        <v>0.10344827586206896</v>
      </c>
      <c r="AG356" s="28">
        <f t="shared" si="99"/>
        <v>0</v>
      </c>
      <c r="AH356" s="28">
        <f t="shared" si="100"/>
        <v>0</v>
      </c>
      <c r="AI356" s="28">
        <f t="shared" si="101"/>
        <v>0.13793103448275862</v>
      </c>
      <c r="AJ356">
        <v>21</v>
      </c>
      <c r="AK356">
        <v>3</v>
      </c>
      <c r="AL356">
        <v>0</v>
      </c>
      <c r="AM356">
        <v>0</v>
      </c>
      <c r="AN356">
        <v>4</v>
      </c>
      <c r="AO356" s="22">
        <f t="shared" si="109"/>
        <v>3.0910424533583161</v>
      </c>
      <c r="AP356" s="22">
        <f t="shared" si="110"/>
        <v>1.3862943611198906</v>
      </c>
      <c r="AQ356" s="22">
        <f t="shared" si="111"/>
        <v>0</v>
      </c>
      <c r="AR356" s="22">
        <f t="shared" si="112"/>
        <v>0</v>
      </c>
      <c r="AS356" s="22">
        <f t="shared" si="113"/>
        <v>1.6094379124341003</v>
      </c>
    </row>
    <row r="357" spans="1:45" x14ac:dyDescent="0.25">
      <c r="A357" s="1" t="s">
        <v>10</v>
      </c>
      <c r="B357" s="11">
        <v>43299</v>
      </c>
      <c r="C357">
        <v>199</v>
      </c>
      <c r="D357">
        <v>2018</v>
      </c>
      <c r="E357">
        <v>3003</v>
      </c>
      <c r="F357" s="1">
        <v>57600</v>
      </c>
      <c r="G357" s="44">
        <f t="shared" si="103"/>
        <v>0</v>
      </c>
      <c r="H357" s="6">
        <v>42.073333333333331</v>
      </c>
      <c r="I357" s="6">
        <v>-81.744833333333332</v>
      </c>
      <c r="J357">
        <v>42.261233333333337</v>
      </c>
      <c r="K357">
        <v>-81.829883333333328</v>
      </c>
      <c r="L357">
        <v>41.621000000000002</v>
      </c>
      <c r="M357">
        <v>-81.539483333333337</v>
      </c>
      <c r="N357" s="22">
        <f t="shared" si="114"/>
        <v>0.20625206059577086</v>
      </c>
      <c r="O357" s="22">
        <f t="shared" si="115"/>
        <v>0.49676359261165487</v>
      </c>
      <c r="P357" s="22">
        <f t="shared" si="102"/>
        <v>0.20625206059577086</v>
      </c>
      <c r="Q357">
        <v>24.2</v>
      </c>
      <c r="R357">
        <v>18</v>
      </c>
      <c r="S357">
        <v>24.6</v>
      </c>
      <c r="T357">
        <v>16</v>
      </c>
      <c r="U357" s="1">
        <v>1</v>
      </c>
      <c r="V357">
        <v>2225</v>
      </c>
      <c r="W357" s="30">
        <v>20</v>
      </c>
      <c r="X357" s="30">
        <v>1</v>
      </c>
      <c r="Y357">
        <v>56</v>
      </c>
      <c r="Z357" s="28">
        <f t="shared" si="104"/>
        <v>0.9</v>
      </c>
      <c r="AA357" s="28">
        <f t="shared" si="105"/>
        <v>1.25</v>
      </c>
      <c r="AB357" s="28">
        <f t="shared" si="106"/>
        <v>0</v>
      </c>
      <c r="AC357" s="28">
        <f t="shared" si="107"/>
        <v>0</v>
      </c>
      <c r="AD357" s="28">
        <f t="shared" si="108"/>
        <v>0.55000000000000004</v>
      </c>
      <c r="AE357" s="28">
        <f t="shared" si="97"/>
        <v>0.32142857142857145</v>
      </c>
      <c r="AF357" s="28">
        <f t="shared" si="98"/>
        <v>0.44642857142857145</v>
      </c>
      <c r="AG357" s="28">
        <f t="shared" si="99"/>
        <v>0</v>
      </c>
      <c r="AH357" s="28">
        <f t="shared" si="100"/>
        <v>0</v>
      </c>
      <c r="AI357" s="28">
        <f t="shared" si="101"/>
        <v>0.19642857142857142</v>
      </c>
      <c r="AJ357">
        <v>18</v>
      </c>
      <c r="AK357">
        <v>25</v>
      </c>
      <c r="AL357">
        <v>0</v>
      </c>
      <c r="AM357">
        <v>0</v>
      </c>
      <c r="AN357">
        <v>11</v>
      </c>
      <c r="AO357" s="22">
        <f t="shared" si="109"/>
        <v>2.9444389791664403</v>
      </c>
      <c r="AP357" s="22">
        <f t="shared" si="110"/>
        <v>3.2580965380214821</v>
      </c>
      <c r="AQ357" s="22">
        <f t="shared" si="111"/>
        <v>0</v>
      </c>
      <c r="AR357" s="22">
        <f t="shared" si="112"/>
        <v>0</v>
      </c>
      <c r="AS357" s="22">
        <f t="shared" si="113"/>
        <v>2.4849066497880004</v>
      </c>
    </row>
    <row r="358" spans="1:45" x14ac:dyDescent="0.25">
      <c r="A358" s="1" t="s">
        <v>10</v>
      </c>
      <c r="B358" s="11">
        <v>43299</v>
      </c>
      <c r="C358">
        <v>199</v>
      </c>
      <c r="D358">
        <v>2018</v>
      </c>
      <c r="E358">
        <v>3004</v>
      </c>
      <c r="F358" s="1">
        <v>57600</v>
      </c>
      <c r="G358" s="44">
        <f t="shared" si="103"/>
        <v>0</v>
      </c>
      <c r="H358" s="6">
        <v>42.058166666666665</v>
      </c>
      <c r="I358" s="6">
        <v>-81.742999999999995</v>
      </c>
      <c r="J358">
        <v>42.261233333333337</v>
      </c>
      <c r="K358">
        <v>-81.829883333333328</v>
      </c>
      <c r="L358">
        <v>41.621000000000002</v>
      </c>
      <c r="M358">
        <v>-81.539483333333337</v>
      </c>
      <c r="N358" s="22">
        <f t="shared" si="114"/>
        <v>0.22087277949585418</v>
      </c>
      <c r="O358" s="22">
        <f t="shared" si="115"/>
        <v>0.48221751114569528</v>
      </c>
      <c r="P358" s="22">
        <f t="shared" si="102"/>
        <v>0.22087277949585418</v>
      </c>
      <c r="S358">
        <v>24.7</v>
      </c>
      <c r="T358">
        <v>20</v>
      </c>
      <c r="U358" s="47">
        <v>1</v>
      </c>
      <c r="V358">
        <v>2304</v>
      </c>
      <c r="W358" s="30">
        <v>20</v>
      </c>
      <c r="X358" s="30">
        <v>1.03</v>
      </c>
      <c r="Y358">
        <v>50</v>
      </c>
      <c r="Z358" s="28">
        <f t="shared" si="104"/>
        <v>1.4</v>
      </c>
      <c r="AA358" s="28">
        <f t="shared" si="105"/>
        <v>0.05</v>
      </c>
      <c r="AB358" s="28">
        <f t="shared" si="106"/>
        <v>0.6</v>
      </c>
      <c r="AC358" s="28">
        <f t="shared" si="107"/>
        <v>0</v>
      </c>
      <c r="AD358" s="28">
        <f t="shared" si="108"/>
        <v>0.3</v>
      </c>
      <c r="AE358" s="28">
        <f t="shared" si="97"/>
        <v>0.56000000000000005</v>
      </c>
      <c r="AF358" s="28">
        <f t="shared" si="98"/>
        <v>0.02</v>
      </c>
      <c r="AG358" s="28">
        <f t="shared" si="99"/>
        <v>0.24</v>
      </c>
      <c r="AH358" s="28">
        <f t="shared" si="100"/>
        <v>0</v>
      </c>
      <c r="AI358" s="28">
        <f t="shared" si="101"/>
        <v>0.12</v>
      </c>
      <c r="AJ358">
        <v>28</v>
      </c>
      <c r="AK358">
        <v>1</v>
      </c>
      <c r="AL358">
        <v>12</v>
      </c>
      <c r="AM358">
        <v>0</v>
      </c>
      <c r="AN358">
        <v>6</v>
      </c>
      <c r="AO358" s="22">
        <f t="shared" si="109"/>
        <v>3.3672958299864741</v>
      </c>
      <c r="AP358" s="22">
        <f t="shared" si="110"/>
        <v>0.69314718055994529</v>
      </c>
      <c r="AQ358" s="22">
        <f t="shared" si="111"/>
        <v>2.5649493574615367</v>
      </c>
      <c r="AR358" s="22">
        <f t="shared" si="112"/>
        <v>0</v>
      </c>
      <c r="AS358" s="22">
        <f t="shared" si="113"/>
        <v>1.9459101490553132</v>
      </c>
    </row>
    <row r="359" spans="1:45" x14ac:dyDescent="0.25">
      <c r="A359" s="1" t="s">
        <v>10</v>
      </c>
      <c r="B359" s="11">
        <v>43299</v>
      </c>
      <c r="C359">
        <v>199</v>
      </c>
      <c r="D359">
        <v>2018</v>
      </c>
      <c r="E359">
        <v>3005</v>
      </c>
      <c r="F359" s="1">
        <v>57600</v>
      </c>
      <c r="G359" s="44">
        <f t="shared" si="103"/>
        <v>0</v>
      </c>
      <c r="H359" s="6">
        <v>42.204166666666666</v>
      </c>
      <c r="I359" s="6">
        <v>-81.803666666666672</v>
      </c>
      <c r="J359">
        <v>42.261233333333337</v>
      </c>
      <c r="K359">
        <v>-81.829883333333328</v>
      </c>
      <c r="L359">
        <v>41.621000000000002</v>
      </c>
      <c r="M359">
        <v>-81.539483333333337</v>
      </c>
      <c r="N359" s="22">
        <f t="shared" si="114"/>
        <v>6.2800621458354133E-2</v>
      </c>
      <c r="O359" s="22">
        <f t="shared" si="115"/>
        <v>0.64021574076417365</v>
      </c>
      <c r="P359" s="22">
        <f t="shared" si="102"/>
        <v>6.2800621458354133E-2</v>
      </c>
      <c r="Q359">
        <v>24.3</v>
      </c>
      <c r="R359">
        <v>24.3</v>
      </c>
      <c r="S359">
        <v>20.9</v>
      </c>
      <c r="T359">
        <v>5</v>
      </c>
      <c r="U359" s="1">
        <v>0</v>
      </c>
      <c r="V359">
        <v>2440</v>
      </c>
      <c r="W359" s="30">
        <v>20</v>
      </c>
      <c r="X359" s="30">
        <v>1.02</v>
      </c>
      <c r="Y359">
        <v>75</v>
      </c>
      <c r="Z359" s="28">
        <f t="shared" si="104"/>
        <v>0.7</v>
      </c>
      <c r="AA359" s="28">
        <f t="shared" si="105"/>
        <v>0</v>
      </c>
      <c r="AB359" s="28">
        <f t="shared" si="106"/>
        <v>0</v>
      </c>
      <c r="AC359" s="28">
        <f t="shared" si="107"/>
        <v>0</v>
      </c>
      <c r="AD359" s="28">
        <f t="shared" si="108"/>
        <v>0.2</v>
      </c>
      <c r="AE359" s="28">
        <f t="shared" si="97"/>
        <v>0.18666666666666668</v>
      </c>
      <c r="AF359" s="28">
        <f t="shared" si="98"/>
        <v>0</v>
      </c>
      <c r="AG359" s="28">
        <f t="shared" si="99"/>
        <v>0</v>
      </c>
      <c r="AH359" s="28">
        <f t="shared" si="100"/>
        <v>0</v>
      </c>
      <c r="AI359" s="28">
        <f t="shared" si="101"/>
        <v>5.3333333333333337E-2</v>
      </c>
      <c r="AJ359">
        <v>14</v>
      </c>
      <c r="AK359">
        <v>0</v>
      </c>
      <c r="AL359">
        <v>0</v>
      </c>
      <c r="AM359">
        <v>0</v>
      </c>
      <c r="AN359">
        <v>4</v>
      </c>
      <c r="AO359" s="22">
        <f t="shared" si="109"/>
        <v>2.7080502011022101</v>
      </c>
      <c r="AP359" s="22">
        <f t="shared" si="110"/>
        <v>0</v>
      </c>
      <c r="AQ359" s="22">
        <f t="shared" si="111"/>
        <v>0</v>
      </c>
      <c r="AR359" s="22">
        <f t="shared" si="112"/>
        <v>0</v>
      </c>
      <c r="AS359" s="22">
        <f t="shared" si="113"/>
        <v>1.6094379124341003</v>
      </c>
    </row>
    <row r="360" spans="1:45" x14ac:dyDescent="0.25">
      <c r="A360" s="1" t="s">
        <v>10</v>
      </c>
      <c r="B360" s="11">
        <v>43299</v>
      </c>
      <c r="C360">
        <v>199</v>
      </c>
      <c r="D360">
        <v>2018</v>
      </c>
      <c r="E360">
        <v>3006</v>
      </c>
      <c r="F360" s="1">
        <v>57600</v>
      </c>
      <c r="G360" s="44">
        <f t="shared" si="103"/>
        <v>0</v>
      </c>
      <c r="H360" s="6">
        <v>42.18933333333333</v>
      </c>
      <c r="I360" s="6">
        <v>-81.795666666666662</v>
      </c>
      <c r="J360">
        <v>42.261233333333337</v>
      </c>
      <c r="K360">
        <v>-81.829883333333328</v>
      </c>
      <c r="L360">
        <v>41.621000000000002</v>
      </c>
      <c r="M360">
        <v>-81.539483333333337</v>
      </c>
      <c r="N360" s="22">
        <f t="shared" si="114"/>
        <v>7.9626567662926723E-2</v>
      </c>
      <c r="O360" s="22">
        <f t="shared" si="115"/>
        <v>0.6234041049396013</v>
      </c>
      <c r="P360" s="22">
        <f t="shared" si="102"/>
        <v>7.9626567662926723E-2</v>
      </c>
      <c r="S360">
        <v>20.9</v>
      </c>
      <c r="T360">
        <v>12</v>
      </c>
      <c r="U360" s="1">
        <v>0</v>
      </c>
      <c r="V360">
        <v>2513</v>
      </c>
      <c r="W360" s="30">
        <v>20</v>
      </c>
      <c r="X360" s="30">
        <v>1.04</v>
      </c>
      <c r="Y360">
        <v>32</v>
      </c>
      <c r="Z360" s="28">
        <f t="shared" si="104"/>
        <v>0</v>
      </c>
      <c r="AA360" s="28">
        <f t="shared" si="105"/>
        <v>0</v>
      </c>
      <c r="AB360" s="28">
        <f t="shared" si="106"/>
        <v>0</v>
      </c>
      <c r="AC360" s="28">
        <f t="shared" si="107"/>
        <v>0</v>
      </c>
      <c r="AD360" s="28">
        <f t="shared" si="108"/>
        <v>0.65</v>
      </c>
      <c r="AE360" s="28">
        <f t="shared" si="97"/>
        <v>0</v>
      </c>
      <c r="AF360" s="28">
        <f t="shared" si="98"/>
        <v>0</v>
      </c>
      <c r="AG360" s="28">
        <f t="shared" si="99"/>
        <v>0</v>
      </c>
      <c r="AH360" s="28">
        <f t="shared" si="100"/>
        <v>0</v>
      </c>
      <c r="AI360" s="28">
        <f t="shared" si="101"/>
        <v>0.40625</v>
      </c>
      <c r="AJ360">
        <v>0</v>
      </c>
      <c r="AK360">
        <v>0</v>
      </c>
      <c r="AL360">
        <v>0</v>
      </c>
      <c r="AM360">
        <v>0</v>
      </c>
      <c r="AN360">
        <v>13</v>
      </c>
      <c r="AO360" s="22">
        <f t="shared" si="109"/>
        <v>0</v>
      </c>
      <c r="AP360" s="22">
        <f t="shared" si="110"/>
        <v>0</v>
      </c>
      <c r="AQ360" s="22">
        <f t="shared" si="111"/>
        <v>0</v>
      </c>
      <c r="AR360" s="22">
        <f t="shared" si="112"/>
        <v>0</v>
      </c>
      <c r="AS360" s="22">
        <f t="shared" si="113"/>
        <v>2.6390573296152584</v>
      </c>
    </row>
    <row r="361" spans="1:45" x14ac:dyDescent="0.25">
      <c r="A361" s="1" t="s">
        <v>10</v>
      </c>
      <c r="B361" s="11">
        <v>43299</v>
      </c>
      <c r="C361">
        <v>199</v>
      </c>
      <c r="D361">
        <v>2018</v>
      </c>
      <c r="E361">
        <v>3007</v>
      </c>
      <c r="F361" s="1">
        <v>57600</v>
      </c>
      <c r="G361" s="44">
        <f t="shared" si="103"/>
        <v>0</v>
      </c>
      <c r="H361" s="6">
        <v>42.203666666666663</v>
      </c>
      <c r="I361" s="6">
        <v>-81.806333333333328</v>
      </c>
      <c r="J361">
        <v>42.261233333333337</v>
      </c>
      <c r="K361">
        <v>-81.829883333333328</v>
      </c>
      <c r="L361">
        <v>41.621000000000002</v>
      </c>
      <c r="M361">
        <v>-81.539483333333337</v>
      </c>
      <c r="N361" s="22">
        <f t="shared" si="114"/>
        <v>6.2197456628964323E-2</v>
      </c>
      <c r="O361" s="22">
        <f t="shared" si="115"/>
        <v>0.64086610687758572</v>
      </c>
      <c r="P361" s="22">
        <f t="shared" si="102"/>
        <v>6.2197456628964323E-2</v>
      </c>
      <c r="Q361">
        <v>24.3</v>
      </c>
      <c r="R361">
        <v>21.1</v>
      </c>
      <c r="S361">
        <v>20.8</v>
      </c>
      <c r="T361">
        <v>16</v>
      </c>
      <c r="U361" s="1">
        <v>1</v>
      </c>
      <c r="V361">
        <v>2551</v>
      </c>
      <c r="W361" s="30">
        <v>20</v>
      </c>
      <c r="X361" s="30">
        <v>1.01</v>
      </c>
      <c r="Y361">
        <v>39</v>
      </c>
      <c r="Z361" s="28">
        <f t="shared" si="104"/>
        <v>0.45</v>
      </c>
      <c r="AA361" s="28">
        <f t="shared" si="105"/>
        <v>0</v>
      </c>
      <c r="AB361" s="28">
        <f t="shared" si="106"/>
        <v>0</v>
      </c>
      <c r="AC361" s="28">
        <f t="shared" si="107"/>
        <v>0</v>
      </c>
      <c r="AD361" s="28">
        <f t="shared" si="108"/>
        <v>0.25</v>
      </c>
      <c r="AE361" s="28">
        <f t="shared" si="97"/>
        <v>0.23076923076923078</v>
      </c>
      <c r="AF361" s="28">
        <f t="shared" si="98"/>
        <v>0</v>
      </c>
      <c r="AG361" s="28">
        <f t="shared" si="99"/>
        <v>0</v>
      </c>
      <c r="AH361" s="28">
        <f t="shared" si="100"/>
        <v>0</v>
      </c>
      <c r="AI361" s="28">
        <f t="shared" si="101"/>
        <v>0.12820512820512819</v>
      </c>
      <c r="AJ361">
        <v>9</v>
      </c>
      <c r="AK361">
        <v>0</v>
      </c>
      <c r="AL361">
        <v>0</v>
      </c>
      <c r="AM361">
        <v>0</v>
      </c>
      <c r="AN361">
        <v>5</v>
      </c>
      <c r="AO361" s="22">
        <f t="shared" si="109"/>
        <v>2.3025850929940459</v>
      </c>
      <c r="AP361" s="22">
        <f t="shared" si="110"/>
        <v>0</v>
      </c>
      <c r="AQ361" s="22">
        <f t="shared" si="111"/>
        <v>0</v>
      </c>
      <c r="AR361" s="22">
        <f t="shared" si="112"/>
        <v>0</v>
      </c>
      <c r="AS361" s="22">
        <f t="shared" si="113"/>
        <v>1.791759469228055</v>
      </c>
    </row>
    <row r="362" spans="1:45" x14ac:dyDescent="0.25">
      <c r="A362" s="1" t="s">
        <v>10</v>
      </c>
      <c r="B362" s="11">
        <v>43300</v>
      </c>
      <c r="C362">
        <v>200</v>
      </c>
      <c r="D362">
        <v>2018</v>
      </c>
      <c r="E362">
        <v>3008</v>
      </c>
      <c r="F362" s="1">
        <v>57600</v>
      </c>
      <c r="G362" s="44">
        <f t="shared" si="103"/>
        <v>0</v>
      </c>
      <c r="H362" s="13">
        <v>42.241666666666667</v>
      </c>
      <c r="I362" s="6">
        <v>-81.822666666666663</v>
      </c>
      <c r="J362">
        <v>42.261233333333337</v>
      </c>
      <c r="K362">
        <v>-81.829883333333328</v>
      </c>
      <c r="L362">
        <v>41.621000000000002</v>
      </c>
      <c r="M362">
        <v>-81.539483333333337</v>
      </c>
      <c r="N362" s="22">
        <f t="shared" si="114"/>
        <v>2.0855088640960237E-2</v>
      </c>
      <c r="O362" s="22">
        <f t="shared" si="115"/>
        <v>0.68221690933960499</v>
      </c>
      <c r="P362" s="22">
        <f t="shared" si="102"/>
        <v>2.0855088640960237E-2</v>
      </c>
      <c r="Q362">
        <v>24.3</v>
      </c>
      <c r="R362">
        <v>14.4</v>
      </c>
      <c r="S362">
        <v>17.600000000000001</v>
      </c>
      <c r="T362" s="12">
        <v>13</v>
      </c>
      <c r="U362" s="21">
        <v>0</v>
      </c>
      <c r="V362">
        <v>2737</v>
      </c>
      <c r="W362" s="30">
        <v>20</v>
      </c>
      <c r="X362" s="30">
        <v>0.99</v>
      </c>
      <c r="Y362">
        <v>140</v>
      </c>
      <c r="Z362" s="28">
        <f t="shared" si="104"/>
        <v>0</v>
      </c>
      <c r="AA362" s="28">
        <f t="shared" si="105"/>
        <v>2.2000000000000002</v>
      </c>
      <c r="AB362" s="28">
        <f t="shared" si="106"/>
        <v>0.1</v>
      </c>
      <c r="AC362" s="28">
        <f t="shared" si="107"/>
        <v>0.25</v>
      </c>
      <c r="AD362" s="28">
        <f t="shared" si="108"/>
        <v>0.7</v>
      </c>
      <c r="AE362" s="28">
        <f t="shared" si="97"/>
        <v>0</v>
      </c>
      <c r="AF362" s="28">
        <f t="shared" si="98"/>
        <v>0.31428571428571428</v>
      </c>
      <c r="AG362" s="28">
        <f t="shared" si="99"/>
        <v>1.4285714285714285E-2</v>
      </c>
      <c r="AH362" s="28">
        <f t="shared" si="100"/>
        <v>3.5714285714285712E-2</v>
      </c>
      <c r="AI362" s="28">
        <f t="shared" si="101"/>
        <v>0.1</v>
      </c>
      <c r="AJ362">
        <v>0</v>
      </c>
      <c r="AK362">
        <v>44</v>
      </c>
      <c r="AL362">
        <v>2</v>
      </c>
      <c r="AM362">
        <v>5</v>
      </c>
      <c r="AN362">
        <v>14</v>
      </c>
      <c r="AO362" s="22">
        <f t="shared" si="109"/>
        <v>0</v>
      </c>
      <c r="AP362" s="22">
        <f t="shared" si="110"/>
        <v>3.8066624897703196</v>
      </c>
      <c r="AQ362" s="22">
        <f t="shared" si="111"/>
        <v>1.0986122886681098</v>
      </c>
      <c r="AR362" s="22">
        <f t="shared" si="112"/>
        <v>1.791759469228055</v>
      </c>
      <c r="AS362" s="22">
        <f t="shared" si="113"/>
        <v>2.7080502011022101</v>
      </c>
    </row>
    <row r="363" spans="1:45" x14ac:dyDescent="0.25">
      <c r="A363" s="1" t="s">
        <v>10</v>
      </c>
      <c r="B363" s="11">
        <v>43299</v>
      </c>
      <c r="C363">
        <v>199</v>
      </c>
      <c r="D363">
        <v>2018</v>
      </c>
      <c r="E363">
        <v>3009</v>
      </c>
      <c r="F363" s="1">
        <v>57600</v>
      </c>
      <c r="G363" s="44">
        <f t="shared" si="103"/>
        <v>0</v>
      </c>
      <c r="H363" s="13">
        <v>42.259333333333331</v>
      </c>
      <c r="I363" s="6">
        <v>-81.821833333333331</v>
      </c>
      <c r="J363">
        <v>42.261233333333337</v>
      </c>
      <c r="K363">
        <v>-81.829883333333328</v>
      </c>
      <c r="L363">
        <v>41.621000000000002</v>
      </c>
      <c r="M363">
        <v>-81.539483333333337</v>
      </c>
      <c r="N363" s="22">
        <f t="shared" si="114"/>
        <v>8.2711849211572468E-3</v>
      </c>
      <c r="O363" s="22">
        <f t="shared" si="115"/>
        <v>0.69799066393787434</v>
      </c>
      <c r="P363" s="22">
        <f t="shared" si="102"/>
        <v>8.2711849211572468E-3</v>
      </c>
      <c r="S363">
        <v>14.4</v>
      </c>
      <c r="T363" s="12">
        <v>10</v>
      </c>
      <c r="U363" s="21">
        <v>0</v>
      </c>
      <c r="V363">
        <v>2701</v>
      </c>
      <c r="W363" s="30">
        <v>20</v>
      </c>
      <c r="X363" s="30">
        <v>1.05</v>
      </c>
      <c r="Y363">
        <v>92</v>
      </c>
      <c r="Z363" s="28">
        <f t="shared" si="104"/>
        <v>0</v>
      </c>
      <c r="AA363" s="28">
        <f t="shared" si="105"/>
        <v>1.25</v>
      </c>
      <c r="AB363" s="28">
        <f t="shared" si="106"/>
        <v>0.05</v>
      </c>
      <c r="AC363" s="28">
        <f t="shared" si="107"/>
        <v>0.25</v>
      </c>
      <c r="AD363" s="28">
        <f t="shared" si="108"/>
        <v>0.1</v>
      </c>
      <c r="AE363" s="28">
        <f t="shared" si="97"/>
        <v>0</v>
      </c>
      <c r="AF363" s="28">
        <f t="shared" si="98"/>
        <v>0.27173913043478259</v>
      </c>
      <c r="AG363" s="28">
        <f t="shared" si="99"/>
        <v>1.0869565217391304E-2</v>
      </c>
      <c r="AH363" s="28">
        <f t="shared" si="100"/>
        <v>5.434782608695652E-2</v>
      </c>
      <c r="AI363" s="28">
        <f t="shared" si="101"/>
        <v>2.1739130434782608E-2</v>
      </c>
      <c r="AJ363">
        <v>0</v>
      </c>
      <c r="AK363">
        <v>25</v>
      </c>
      <c r="AL363">
        <v>1</v>
      </c>
      <c r="AM363">
        <v>5</v>
      </c>
      <c r="AN363">
        <v>2</v>
      </c>
      <c r="AO363" s="22">
        <f t="shared" si="109"/>
        <v>0</v>
      </c>
      <c r="AP363" s="22">
        <f t="shared" si="110"/>
        <v>3.2580965380214821</v>
      </c>
      <c r="AQ363" s="22">
        <f t="shared" si="111"/>
        <v>0.69314718055994529</v>
      </c>
      <c r="AR363" s="22">
        <f t="shared" si="112"/>
        <v>1.791759469228055</v>
      </c>
      <c r="AS363" s="22">
        <f t="shared" si="113"/>
        <v>1.0986122886681098</v>
      </c>
    </row>
    <row r="364" spans="1:45" x14ac:dyDescent="0.25">
      <c r="A364" s="1" t="s">
        <v>10</v>
      </c>
      <c r="B364" s="11">
        <v>43300</v>
      </c>
      <c r="C364">
        <v>200</v>
      </c>
      <c r="D364">
        <v>2018</v>
      </c>
      <c r="E364">
        <v>4001</v>
      </c>
      <c r="F364" s="1">
        <v>57350</v>
      </c>
      <c r="G364" s="44">
        <f t="shared" si="103"/>
        <v>0</v>
      </c>
      <c r="H364" s="6">
        <v>41.927666666666667</v>
      </c>
      <c r="I364" s="6">
        <v>-82.150666666666666</v>
      </c>
      <c r="J364">
        <v>42.1434</v>
      </c>
      <c r="K364">
        <v>-82.285266666666672</v>
      </c>
      <c r="L364">
        <v>41.52558333333333</v>
      </c>
      <c r="M364">
        <v>-81.97645</v>
      </c>
      <c r="N364" s="22">
        <f t="shared" si="114"/>
        <v>0.25427943509279799</v>
      </c>
      <c r="O364" s="22">
        <f t="shared" si="115"/>
        <v>0.43820366713309439</v>
      </c>
      <c r="P364" s="22">
        <f t="shared" si="102"/>
        <v>0.25427943509279799</v>
      </c>
      <c r="Q364">
        <v>24.3</v>
      </c>
      <c r="R364">
        <v>24.2</v>
      </c>
      <c r="S364">
        <v>21.7</v>
      </c>
      <c r="T364">
        <v>9</v>
      </c>
      <c r="U364" s="1">
        <v>0</v>
      </c>
      <c r="V364">
        <v>2146</v>
      </c>
      <c r="W364" s="30">
        <v>20</v>
      </c>
      <c r="X364" s="30">
        <v>1.05</v>
      </c>
      <c r="Y364">
        <v>101</v>
      </c>
      <c r="Z364" s="28">
        <f t="shared" si="104"/>
        <v>2.8</v>
      </c>
      <c r="AA364" s="28">
        <f t="shared" si="105"/>
        <v>0.2</v>
      </c>
      <c r="AB364" s="28">
        <f t="shared" si="106"/>
        <v>0</v>
      </c>
      <c r="AC364" s="28">
        <f t="shared" si="107"/>
        <v>0</v>
      </c>
      <c r="AD364" s="28">
        <f t="shared" si="108"/>
        <v>0.4</v>
      </c>
      <c r="AE364" s="28">
        <f t="shared" si="97"/>
        <v>0.5544554455445545</v>
      </c>
      <c r="AF364" s="28">
        <f t="shared" si="98"/>
        <v>3.9603960396039604E-2</v>
      </c>
      <c r="AG364" s="28">
        <f t="shared" si="99"/>
        <v>0</v>
      </c>
      <c r="AH364" s="28">
        <f t="shared" si="100"/>
        <v>0</v>
      </c>
      <c r="AI364" s="28">
        <f t="shared" si="101"/>
        <v>7.9207920792079209E-2</v>
      </c>
      <c r="AJ364">
        <v>56</v>
      </c>
      <c r="AK364">
        <v>4</v>
      </c>
      <c r="AL364">
        <v>0</v>
      </c>
      <c r="AM364">
        <v>0</v>
      </c>
      <c r="AN364">
        <v>8</v>
      </c>
      <c r="AO364" s="22">
        <f t="shared" si="109"/>
        <v>4.0430512678345503</v>
      </c>
      <c r="AP364" s="22">
        <f t="shared" si="110"/>
        <v>1.6094379124341003</v>
      </c>
      <c r="AQ364" s="22">
        <f t="shared" si="111"/>
        <v>0</v>
      </c>
      <c r="AR364" s="22">
        <f t="shared" si="112"/>
        <v>0</v>
      </c>
      <c r="AS364" s="22">
        <f t="shared" si="113"/>
        <v>2.1972245773362196</v>
      </c>
    </row>
    <row r="365" spans="1:45" x14ac:dyDescent="0.25">
      <c r="A365" s="1" t="s">
        <v>10</v>
      </c>
      <c r="B365" s="11">
        <v>43300</v>
      </c>
      <c r="C365">
        <v>200</v>
      </c>
      <c r="D365">
        <v>2018</v>
      </c>
      <c r="E365">
        <v>4002</v>
      </c>
      <c r="F365" s="1">
        <v>57350</v>
      </c>
      <c r="G365" s="44">
        <f t="shared" si="103"/>
        <v>0</v>
      </c>
      <c r="H365" s="6">
        <v>41.927</v>
      </c>
      <c r="I365" s="6">
        <v>-82.174499999999995</v>
      </c>
      <c r="J365">
        <v>42.1434</v>
      </c>
      <c r="K365">
        <v>-82.285266666666672</v>
      </c>
      <c r="L365">
        <v>41.52558333333333</v>
      </c>
      <c r="M365">
        <v>-81.97645</v>
      </c>
      <c r="N365" s="22">
        <f t="shared" si="114"/>
        <v>0.24310124319806936</v>
      </c>
      <c r="O365" s="22">
        <f t="shared" si="115"/>
        <v>0.44761494923402434</v>
      </c>
      <c r="P365" s="22">
        <f t="shared" si="102"/>
        <v>0.24310124319806936</v>
      </c>
      <c r="S365">
        <v>21.4</v>
      </c>
      <c r="T365">
        <v>12</v>
      </c>
      <c r="U365" s="1">
        <v>0</v>
      </c>
      <c r="V365">
        <v>2217</v>
      </c>
      <c r="W365" s="30">
        <v>20</v>
      </c>
      <c r="X365" s="30">
        <v>1.05</v>
      </c>
      <c r="Y365">
        <v>50</v>
      </c>
      <c r="Z365" s="28">
        <f t="shared" si="104"/>
        <v>1.55</v>
      </c>
      <c r="AA365" s="28">
        <f t="shared" si="105"/>
        <v>0</v>
      </c>
      <c r="AB365" s="28">
        <f t="shared" si="106"/>
        <v>0</v>
      </c>
      <c r="AC365" s="28">
        <f t="shared" si="107"/>
        <v>0</v>
      </c>
      <c r="AD365" s="28">
        <f t="shared" si="108"/>
        <v>0.15</v>
      </c>
      <c r="AE365" s="28">
        <f t="shared" si="97"/>
        <v>0.62</v>
      </c>
      <c r="AF365" s="28">
        <f t="shared" si="98"/>
        <v>0</v>
      </c>
      <c r="AG365" s="28">
        <f t="shared" si="99"/>
        <v>0</v>
      </c>
      <c r="AH365" s="28">
        <f t="shared" si="100"/>
        <v>0</v>
      </c>
      <c r="AI365" s="28">
        <f t="shared" si="101"/>
        <v>0.06</v>
      </c>
      <c r="AJ365">
        <v>31</v>
      </c>
      <c r="AK365">
        <v>0</v>
      </c>
      <c r="AL365">
        <v>0</v>
      </c>
      <c r="AM365">
        <v>0</v>
      </c>
      <c r="AN365">
        <v>3</v>
      </c>
      <c r="AO365" s="22">
        <f t="shared" si="109"/>
        <v>3.4657359027997265</v>
      </c>
      <c r="AP365" s="22">
        <f t="shared" si="110"/>
        <v>0</v>
      </c>
      <c r="AQ365" s="22">
        <f t="shared" si="111"/>
        <v>0</v>
      </c>
      <c r="AR365" s="22">
        <f t="shared" si="112"/>
        <v>0</v>
      </c>
      <c r="AS365" s="22">
        <f t="shared" si="113"/>
        <v>1.3862943611198906</v>
      </c>
    </row>
    <row r="366" spans="1:45" x14ac:dyDescent="0.25">
      <c r="A366" s="1" t="s">
        <v>10</v>
      </c>
      <c r="B366" s="11">
        <v>43300</v>
      </c>
      <c r="C366">
        <v>200</v>
      </c>
      <c r="D366">
        <v>2018</v>
      </c>
      <c r="E366">
        <v>4003</v>
      </c>
      <c r="F366" s="1">
        <v>57350</v>
      </c>
      <c r="G366" s="44">
        <f t="shared" si="103"/>
        <v>0</v>
      </c>
      <c r="H366" s="6">
        <v>41.923166666666667</v>
      </c>
      <c r="I366" s="6">
        <v>-82.155166666666673</v>
      </c>
      <c r="J366">
        <v>42.1434</v>
      </c>
      <c r="K366">
        <v>-82.285266666666672</v>
      </c>
      <c r="L366">
        <v>41.52558333333333</v>
      </c>
      <c r="M366">
        <v>-81.97645</v>
      </c>
      <c r="N366" s="22">
        <f t="shared" si="114"/>
        <v>0.25579040465019515</v>
      </c>
      <c r="O366" s="22">
        <f t="shared" si="115"/>
        <v>0.43590383559782336</v>
      </c>
      <c r="P366" s="22">
        <f t="shared" si="102"/>
        <v>0.25579040465019515</v>
      </c>
      <c r="Q366">
        <v>24.3</v>
      </c>
      <c r="R366">
        <v>19.5</v>
      </c>
      <c r="S366">
        <v>21.6</v>
      </c>
      <c r="T366">
        <v>16</v>
      </c>
      <c r="U366" s="1">
        <v>1</v>
      </c>
      <c r="V366">
        <v>2256</v>
      </c>
      <c r="W366" s="30">
        <v>20</v>
      </c>
      <c r="X366" s="30">
        <v>1.03</v>
      </c>
      <c r="Y366">
        <v>251</v>
      </c>
      <c r="Z366" s="28">
        <f t="shared" si="104"/>
        <v>9.85</v>
      </c>
      <c r="AA366" s="28">
        <f t="shared" si="105"/>
        <v>0.15</v>
      </c>
      <c r="AB366" s="28">
        <f t="shared" si="106"/>
        <v>0</v>
      </c>
      <c r="AC366" s="28">
        <f t="shared" si="107"/>
        <v>0</v>
      </c>
      <c r="AD366" s="28">
        <f t="shared" si="108"/>
        <v>0.95</v>
      </c>
      <c r="AE366" s="28">
        <f t="shared" si="97"/>
        <v>0.78486055776892427</v>
      </c>
      <c r="AF366" s="28">
        <f t="shared" si="98"/>
        <v>1.1952191235059761E-2</v>
      </c>
      <c r="AG366" s="28">
        <f t="shared" si="99"/>
        <v>0</v>
      </c>
      <c r="AH366" s="28">
        <f t="shared" si="100"/>
        <v>0</v>
      </c>
      <c r="AI366" s="28">
        <f t="shared" si="101"/>
        <v>7.5697211155378488E-2</v>
      </c>
      <c r="AJ366">
        <v>197</v>
      </c>
      <c r="AK366">
        <v>3</v>
      </c>
      <c r="AL366">
        <v>0</v>
      </c>
      <c r="AM366">
        <v>0</v>
      </c>
      <c r="AN366">
        <v>19</v>
      </c>
      <c r="AO366" s="22">
        <f t="shared" si="109"/>
        <v>5.2882670306945352</v>
      </c>
      <c r="AP366" s="22">
        <f t="shared" si="110"/>
        <v>1.3862943611198906</v>
      </c>
      <c r="AQ366" s="22">
        <f t="shared" si="111"/>
        <v>0</v>
      </c>
      <c r="AR366" s="22">
        <f t="shared" si="112"/>
        <v>0</v>
      </c>
      <c r="AS366" s="22">
        <f t="shared" si="113"/>
        <v>2.9957322735539909</v>
      </c>
    </row>
    <row r="367" spans="1:45" x14ac:dyDescent="0.25">
      <c r="A367" s="1" t="s">
        <v>10</v>
      </c>
      <c r="B367" s="11">
        <v>43300</v>
      </c>
      <c r="C367">
        <v>200</v>
      </c>
      <c r="D367">
        <v>2018</v>
      </c>
      <c r="E367">
        <v>4004</v>
      </c>
      <c r="F367" s="1">
        <v>57350</v>
      </c>
      <c r="G367" s="44">
        <f t="shared" si="103"/>
        <v>0</v>
      </c>
      <c r="H367" s="6">
        <v>41.917666666666669</v>
      </c>
      <c r="I367" s="6">
        <v>-82.177999999999997</v>
      </c>
      <c r="J367">
        <v>42.1434</v>
      </c>
      <c r="K367">
        <v>-82.285266666666672</v>
      </c>
      <c r="L367">
        <v>41.52558333333333</v>
      </c>
      <c r="M367">
        <v>-81.97645</v>
      </c>
      <c r="N367" s="22">
        <f t="shared" si="114"/>
        <v>0.24992333935740396</v>
      </c>
      <c r="O367" s="22">
        <f t="shared" si="115"/>
        <v>0.44085342550305912</v>
      </c>
      <c r="P367" s="22">
        <f t="shared" si="102"/>
        <v>0.24992333935740396</v>
      </c>
      <c r="S367">
        <v>21.5</v>
      </c>
      <c r="T367">
        <v>18</v>
      </c>
      <c r="U367" s="47">
        <v>1</v>
      </c>
      <c r="V367">
        <v>2329</v>
      </c>
      <c r="W367" s="30">
        <v>20</v>
      </c>
      <c r="X367" s="30">
        <v>1.02</v>
      </c>
      <c r="Y367">
        <v>96</v>
      </c>
      <c r="Z367" s="28">
        <f t="shared" si="104"/>
        <v>1.95</v>
      </c>
      <c r="AA367" s="28">
        <f t="shared" si="105"/>
        <v>0.5</v>
      </c>
      <c r="AB367" s="28">
        <f t="shared" si="106"/>
        <v>0</v>
      </c>
      <c r="AC367" s="28">
        <f t="shared" si="107"/>
        <v>0.05</v>
      </c>
      <c r="AD367" s="28">
        <f t="shared" si="108"/>
        <v>1.45</v>
      </c>
      <c r="AE367" s="28">
        <f t="shared" si="97"/>
        <v>0.40625</v>
      </c>
      <c r="AF367" s="28">
        <f t="shared" si="98"/>
        <v>0.10416666666666667</v>
      </c>
      <c r="AG367" s="28">
        <f t="shared" si="99"/>
        <v>0</v>
      </c>
      <c r="AH367" s="28">
        <f t="shared" si="100"/>
        <v>1.0416666666666666E-2</v>
      </c>
      <c r="AI367" s="28">
        <f t="shared" si="101"/>
        <v>0.30208333333333331</v>
      </c>
      <c r="AJ367">
        <v>39</v>
      </c>
      <c r="AK367">
        <v>10</v>
      </c>
      <c r="AL367">
        <v>0</v>
      </c>
      <c r="AM367">
        <v>1</v>
      </c>
      <c r="AN367">
        <v>29</v>
      </c>
      <c r="AO367" s="22">
        <f t="shared" si="109"/>
        <v>3.6888794541139363</v>
      </c>
      <c r="AP367" s="22">
        <f t="shared" si="110"/>
        <v>2.3978952727983707</v>
      </c>
      <c r="AQ367" s="22">
        <f t="shared" si="111"/>
        <v>0</v>
      </c>
      <c r="AR367" s="22">
        <f t="shared" si="112"/>
        <v>0.69314718055994529</v>
      </c>
      <c r="AS367" s="22">
        <f t="shared" si="113"/>
        <v>3.4011973816621555</v>
      </c>
    </row>
    <row r="368" spans="1:45" x14ac:dyDescent="0.25">
      <c r="A368" s="1" t="s">
        <v>10</v>
      </c>
      <c r="B368" s="11">
        <v>43301</v>
      </c>
      <c r="C368">
        <v>201</v>
      </c>
      <c r="D368">
        <v>2018</v>
      </c>
      <c r="E368">
        <v>4005</v>
      </c>
      <c r="F368" s="1">
        <v>57350</v>
      </c>
      <c r="G368" s="44">
        <f t="shared" si="103"/>
        <v>0</v>
      </c>
      <c r="H368" s="6">
        <v>42.044499999999999</v>
      </c>
      <c r="I368" s="6">
        <v>-82.19616666666667</v>
      </c>
      <c r="J368">
        <v>42.1434</v>
      </c>
      <c r="K368">
        <v>-82.285266666666672</v>
      </c>
      <c r="L368">
        <v>41.52558333333333</v>
      </c>
      <c r="M368">
        <v>-81.97645</v>
      </c>
      <c r="N368" s="22">
        <f t="shared" si="114"/>
        <v>0.13311656546050321</v>
      </c>
      <c r="O368" s="22">
        <f t="shared" si="115"/>
        <v>0.56351567906808053</v>
      </c>
      <c r="P368" s="22">
        <f t="shared" si="102"/>
        <v>0.13311656546050321</v>
      </c>
      <c r="Q368">
        <v>24.2</v>
      </c>
      <c r="R368">
        <v>24.2</v>
      </c>
      <c r="S368">
        <v>21.7</v>
      </c>
      <c r="T368">
        <v>6</v>
      </c>
      <c r="U368" s="1">
        <v>0</v>
      </c>
      <c r="V368">
        <v>2502</v>
      </c>
      <c r="W368" s="30">
        <v>20</v>
      </c>
      <c r="X368" s="30">
        <v>1.05</v>
      </c>
      <c r="Y368">
        <v>288</v>
      </c>
      <c r="Z368" s="28">
        <f t="shared" si="104"/>
        <v>4.3499999999999996</v>
      </c>
      <c r="AA368" s="28">
        <f t="shared" si="105"/>
        <v>0</v>
      </c>
      <c r="AB368" s="28">
        <f t="shared" si="106"/>
        <v>0</v>
      </c>
      <c r="AC368" s="28">
        <f t="shared" si="107"/>
        <v>0.05</v>
      </c>
      <c r="AD368" s="28">
        <f t="shared" si="108"/>
        <v>0.9</v>
      </c>
      <c r="AE368" s="28">
        <f t="shared" si="97"/>
        <v>0.30208333333333331</v>
      </c>
      <c r="AF368" s="28">
        <f t="shared" si="98"/>
        <v>0</v>
      </c>
      <c r="AG368" s="28">
        <f t="shared" si="99"/>
        <v>0</v>
      </c>
      <c r="AH368" s="28">
        <f t="shared" si="100"/>
        <v>3.472222222222222E-3</v>
      </c>
      <c r="AI368" s="28">
        <f t="shared" si="101"/>
        <v>6.25E-2</v>
      </c>
      <c r="AJ368">
        <v>87</v>
      </c>
      <c r="AK368">
        <v>0</v>
      </c>
      <c r="AL368">
        <v>0</v>
      </c>
      <c r="AM368">
        <v>1</v>
      </c>
      <c r="AN368">
        <v>18</v>
      </c>
      <c r="AO368" s="22">
        <f t="shared" si="109"/>
        <v>4.4773368144782069</v>
      </c>
      <c r="AP368" s="22">
        <f t="shared" si="110"/>
        <v>0</v>
      </c>
      <c r="AQ368" s="22">
        <f t="shared" si="111"/>
        <v>0</v>
      </c>
      <c r="AR368" s="22">
        <f t="shared" si="112"/>
        <v>0.69314718055994529</v>
      </c>
      <c r="AS368" s="22">
        <f t="shared" si="113"/>
        <v>2.9444389791664403</v>
      </c>
    </row>
    <row r="369" spans="1:45" x14ac:dyDescent="0.25">
      <c r="A369" s="1" t="s">
        <v>10</v>
      </c>
      <c r="B369" s="11">
        <v>43301</v>
      </c>
      <c r="C369">
        <v>201</v>
      </c>
      <c r="D369">
        <v>2018</v>
      </c>
      <c r="E369">
        <v>4006</v>
      </c>
      <c r="F369" s="1">
        <v>57350</v>
      </c>
      <c r="G369" s="44">
        <f t="shared" si="103"/>
        <v>0</v>
      </c>
      <c r="H369" s="6">
        <v>42.057166666666667</v>
      </c>
      <c r="I369" s="6">
        <v>-82.224999999999994</v>
      </c>
      <c r="J369">
        <v>42.1434</v>
      </c>
      <c r="K369">
        <v>-82.285266666666672</v>
      </c>
      <c r="L369">
        <v>41.52558333333333</v>
      </c>
      <c r="M369">
        <v>-81.97645</v>
      </c>
      <c r="N369" s="22">
        <f t="shared" si="114"/>
        <v>0.10520579303864444</v>
      </c>
      <c r="O369" s="22">
        <f t="shared" si="115"/>
        <v>0.58682019629336135</v>
      </c>
      <c r="P369" s="22">
        <f t="shared" si="102"/>
        <v>0.10520579303864444</v>
      </c>
      <c r="S369">
        <v>21.1</v>
      </c>
      <c r="T369">
        <v>12</v>
      </c>
      <c r="U369" s="1">
        <v>0</v>
      </c>
      <c r="V369">
        <v>2532</v>
      </c>
      <c r="W369" s="30">
        <v>20</v>
      </c>
      <c r="X369" s="30">
        <v>1.01</v>
      </c>
      <c r="Y369">
        <v>293</v>
      </c>
      <c r="Z369" s="28">
        <f t="shared" si="104"/>
        <v>7.5</v>
      </c>
      <c r="AA369" s="28">
        <f t="shared" si="105"/>
        <v>0</v>
      </c>
      <c r="AB369" s="28">
        <f t="shared" si="106"/>
        <v>0</v>
      </c>
      <c r="AC369" s="28">
        <f t="shared" si="107"/>
        <v>0</v>
      </c>
      <c r="AD369" s="28">
        <f t="shared" si="108"/>
        <v>1.75</v>
      </c>
      <c r="AE369" s="28">
        <f t="shared" si="97"/>
        <v>0.51194539249146753</v>
      </c>
      <c r="AF369" s="28">
        <f t="shared" si="98"/>
        <v>0</v>
      </c>
      <c r="AG369" s="28">
        <f t="shared" si="99"/>
        <v>0</v>
      </c>
      <c r="AH369" s="28">
        <f t="shared" si="100"/>
        <v>0</v>
      </c>
      <c r="AI369" s="28">
        <f t="shared" si="101"/>
        <v>0.11945392491467577</v>
      </c>
      <c r="AJ369">
        <v>150</v>
      </c>
      <c r="AK369">
        <v>0</v>
      </c>
      <c r="AL369">
        <v>0</v>
      </c>
      <c r="AM369">
        <v>0</v>
      </c>
      <c r="AN369">
        <v>35</v>
      </c>
      <c r="AO369" s="22">
        <f t="shared" si="109"/>
        <v>5.0172798368149243</v>
      </c>
      <c r="AP369" s="22">
        <f t="shared" si="110"/>
        <v>0</v>
      </c>
      <c r="AQ369" s="22">
        <f t="shared" si="111"/>
        <v>0</v>
      </c>
      <c r="AR369" s="22">
        <f t="shared" si="112"/>
        <v>0</v>
      </c>
      <c r="AS369" s="22">
        <f t="shared" si="113"/>
        <v>3.5835189384561099</v>
      </c>
    </row>
    <row r="370" spans="1:45" x14ac:dyDescent="0.25">
      <c r="A370" s="1" t="s">
        <v>10</v>
      </c>
      <c r="B370" s="11">
        <v>43301</v>
      </c>
      <c r="C370">
        <v>201</v>
      </c>
      <c r="D370">
        <v>2018</v>
      </c>
      <c r="E370">
        <v>4007</v>
      </c>
      <c r="F370" s="1">
        <v>57350</v>
      </c>
      <c r="G370" s="44">
        <f t="shared" si="103"/>
        <v>0</v>
      </c>
      <c r="H370" s="6">
        <v>42.064666666666668</v>
      </c>
      <c r="I370" s="6">
        <v>-82.24633333333334</v>
      </c>
      <c r="J370">
        <v>42.1434</v>
      </c>
      <c r="K370">
        <v>-82.285266666666672</v>
      </c>
      <c r="L370">
        <v>41.52558333333333</v>
      </c>
      <c r="M370">
        <v>-81.97645</v>
      </c>
      <c r="N370" s="22">
        <f t="shared" si="114"/>
        <v>8.7833605312670551E-2</v>
      </c>
      <c r="O370" s="22">
        <f t="shared" si="115"/>
        <v>0.60286636486778467</v>
      </c>
      <c r="P370" s="22">
        <f t="shared" si="102"/>
        <v>8.7833605312670551E-2</v>
      </c>
      <c r="Q370">
        <v>24.1</v>
      </c>
      <c r="R370">
        <v>16.399999999999999</v>
      </c>
      <c r="S370">
        <v>21</v>
      </c>
      <c r="T370">
        <v>16</v>
      </c>
      <c r="U370" s="1">
        <v>1</v>
      </c>
      <c r="V370">
        <v>2606</v>
      </c>
      <c r="W370" s="30">
        <v>20</v>
      </c>
      <c r="X370" s="30">
        <v>0.97</v>
      </c>
      <c r="Y370">
        <v>281</v>
      </c>
      <c r="Z370" s="28">
        <f t="shared" si="104"/>
        <v>0.4</v>
      </c>
      <c r="AA370" s="28">
        <f t="shared" si="105"/>
        <v>0.15</v>
      </c>
      <c r="AB370" s="28">
        <f t="shared" si="106"/>
        <v>0</v>
      </c>
      <c r="AC370" s="28">
        <f t="shared" si="107"/>
        <v>0</v>
      </c>
      <c r="AD370" s="28">
        <f t="shared" si="108"/>
        <v>10.25</v>
      </c>
      <c r="AE370" s="28">
        <f t="shared" si="97"/>
        <v>2.8469750889679714E-2</v>
      </c>
      <c r="AF370" s="28">
        <f t="shared" si="98"/>
        <v>1.0676156583629894E-2</v>
      </c>
      <c r="AG370" s="28">
        <f t="shared" si="99"/>
        <v>0</v>
      </c>
      <c r="AH370" s="28">
        <f t="shared" si="100"/>
        <v>0</v>
      </c>
      <c r="AI370" s="28">
        <f t="shared" si="101"/>
        <v>0.72953736654804269</v>
      </c>
      <c r="AJ370">
        <v>8</v>
      </c>
      <c r="AK370">
        <v>3</v>
      </c>
      <c r="AL370">
        <v>0</v>
      </c>
      <c r="AM370">
        <v>0</v>
      </c>
      <c r="AN370">
        <v>205</v>
      </c>
      <c r="AO370" s="22">
        <f t="shared" si="109"/>
        <v>2.1972245773362196</v>
      </c>
      <c r="AP370" s="22">
        <f t="shared" si="110"/>
        <v>1.3862943611198906</v>
      </c>
      <c r="AQ370" s="22">
        <f t="shared" si="111"/>
        <v>0</v>
      </c>
      <c r="AR370" s="22">
        <f t="shared" si="112"/>
        <v>0</v>
      </c>
      <c r="AS370" s="22">
        <f t="shared" si="113"/>
        <v>5.3278761687895813</v>
      </c>
    </row>
    <row r="371" spans="1:45" x14ac:dyDescent="0.25">
      <c r="A371" s="1" t="s">
        <v>10</v>
      </c>
      <c r="B371" s="11">
        <v>43301</v>
      </c>
      <c r="C371">
        <v>201</v>
      </c>
      <c r="D371">
        <v>2018</v>
      </c>
      <c r="E371">
        <v>4008</v>
      </c>
      <c r="F371" s="1">
        <v>57350</v>
      </c>
      <c r="G371" s="44">
        <f t="shared" si="103"/>
        <v>0</v>
      </c>
      <c r="H371" s="6">
        <v>42.134999999999998</v>
      </c>
      <c r="I371" s="6">
        <v>-82.24166666666666</v>
      </c>
      <c r="J371">
        <v>42.1434</v>
      </c>
      <c r="K371">
        <v>-82.285266666666672</v>
      </c>
      <c r="L371">
        <v>41.52558333333333</v>
      </c>
      <c r="M371">
        <v>-81.97645</v>
      </c>
      <c r="N371" s="22">
        <f t="shared" si="114"/>
        <v>4.4401801765255898E-2</v>
      </c>
      <c r="O371" s="22">
        <f t="shared" si="115"/>
        <v>0.66462662742993306</v>
      </c>
      <c r="P371" s="22">
        <f t="shared" si="102"/>
        <v>4.4401801765255898E-2</v>
      </c>
      <c r="Q371">
        <v>24</v>
      </c>
      <c r="R371">
        <v>24</v>
      </c>
      <c r="S371">
        <v>17</v>
      </c>
      <c r="T371">
        <v>8</v>
      </c>
      <c r="U371" s="1">
        <v>0</v>
      </c>
      <c r="V371">
        <v>2713</v>
      </c>
      <c r="W371" s="30">
        <v>20</v>
      </c>
      <c r="X371" s="30">
        <v>1.01</v>
      </c>
      <c r="Y371">
        <v>260</v>
      </c>
      <c r="Z371" s="28">
        <f t="shared" si="104"/>
        <v>3.45</v>
      </c>
      <c r="AA371" s="28">
        <f t="shared" si="105"/>
        <v>0</v>
      </c>
      <c r="AB371" s="28">
        <f t="shared" si="106"/>
        <v>0</v>
      </c>
      <c r="AC371" s="28">
        <f t="shared" si="107"/>
        <v>0.85</v>
      </c>
      <c r="AD371" s="28">
        <f t="shared" si="108"/>
        <v>0.25</v>
      </c>
      <c r="AE371" s="28">
        <f t="shared" si="97"/>
        <v>0.26538461538461539</v>
      </c>
      <c r="AF371" s="28">
        <f t="shared" si="98"/>
        <v>0</v>
      </c>
      <c r="AG371" s="28">
        <f t="shared" si="99"/>
        <v>0</v>
      </c>
      <c r="AH371" s="28">
        <f t="shared" si="100"/>
        <v>6.5384615384615388E-2</v>
      </c>
      <c r="AI371" s="28">
        <f t="shared" si="101"/>
        <v>1.9230769230769232E-2</v>
      </c>
      <c r="AJ371">
        <v>69</v>
      </c>
      <c r="AK371">
        <v>0</v>
      </c>
      <c r="AL371">
        <v>0</v>
      </c>
      <c r="AM371">
        <v>17</v>
      </c>
      <c r="AN371">
        <v>5</v>
      </c>
      <c r="AO371" s="22">
        <f t="shared" si="109"/>
        <v>4.2484952420493594</v>
      </c>
      <c r="AP371" s="22">
        <f t="shared" si="110"/>
        <v>0</v>
      </c>
      <c r="AQ371" s="22">
        <f t="shared" si="111"/>
        <v>0</v>
      </c>
      <c r="AR371" s="22">
        <f t="shared" si="112"/>
        <v>2.8903717578961645</v>
      </c>
      <c r="AS371" s="22">
        <f t="shared" si="113"/>
        <v>1.791759469228055</v>
      </c>
    </row>
    <row r="372" spans="1:45" x14ac:dyDescent="0.25">
      <c r="A372" s="1" t="s">
        <v>10</v>
      </c>
      <c r="B372" s="11">
        <v>43301</v>
      </c>
      <c r="C372">
        <v>201</v>
      </c>
      <c r="D372">
        <v>2018</v>
      </c>
      <c r="E372">
        <v>4009</v>
      </c>
      <c r="F372" s="1">
        <v>57350</v>
      </c>
      <c r="G372" s="44">
        <f t="shared" si="103"/>
        <v>0</v>
      </c>
      <c r="H372" s="6">
        <v>42.147166666666664</v>
      </c>
      <c r="I372" s="6">
        <v>-82.257499999999993</v>
      </c>
      <c r="J372">
        <v>42.1434</v>
      </c>
      <c r="K372">
        <v>-82.285266666666672</v>
      </c>
      <c r="L372">
        <v>41.52558333333333</v>
      </c>
      <c r="M372">
        <v>-81.97645</v>
      </c>
      <c r="N372" s="22">
        <f t="shared" si="114"/>
        <v>2.8020984200349121E-2</v>
      </c>
      <c r="O372" s="22">
        <f t="shared" si="115"/>
        <v>0.68216929187539244</v>
      </c>
      <c r="P372" s="22">
        <f t="shared" si="102"/>
        <v>2.8020984200349121E-2</v>
      </c>
      <c r="S372">
        <v>14.1</v>
      </c>
      <c r="T372">
        <v>12</v>
      </c>
      <c r="U372" s="1">
        <v>0</v>
      </c>
      <c r="V372">
        <v>2746</v>
      </c>
      <c r="W372" s="30">
        <v>20</v>
      </c>
      <c r="X372" s="30">
        <v>1.02</v>
      </c>
      <c r="Y372">
        <v>128</v>
      </c>
      <c r="Z372" s="28">
        <f t="shared" si="104"/>
        <v>1.6</v>
      </c>
      <c r="AA372" s="28">
        <f t="shared" si="105"/>
        <v>0</v>
      </c>
      <c r="AB372" s="28">
        <f t="shared" si="106"/>
        <v>0.1</v>
      </c>
      <c r="AC372" s="28">
        <f t="shared" si="107"/>
        <v>0.15</v>
      </c>
      <c r="AD372" s="28">
        <f t="shared" si="108"/>
        <v>0.2</v>
      </c>
      <c r="AE372" s="28">
        <f t="shared" si="97"/>
        <v>0.25</v>
      </c>
      <c r="AF372" s="28">
        <f t="shared" si="98"/>
        <v>0</v>
      </c>
      <c r="AG372" s="28">
        <f t="shared" si="99"/>
        <v>1.5625E-2</v>
      </c>
      <c r="AH372" s="28">
        <f t="shared" si="100"/>
        <v>2.34375E-2</v>
      </c>
      <c r="AI372" s="28">
        <f t="shared" si="101"/>
        <v>3.125E-2</v>
      </c>
      <c r="AJ372">
        <v>32</v>
      </c>
      <c r="AK372">
        <v>0</v>
      </c>
      <c r="AL372">
        <v>2</v>
      </c>
      <c r="AM372">
        <v>3</v>
      </c>
      <c r="AN372">
        <v>4</v>
      </c>
      <c r="AO372" s="22">
        <f t="shared" si="109"/>
        <v>3.4965075614664802</v>
      </c>
      <c r="AP372" s="22">
        <f t="shared" si="110"/>
        <v>0</v>
      </c>
      <c r="AQ372" s="22">
        <f t="shared" si="111"/>
        <v>1.0986122886681098</v>
      </c>
      <c r="AR372" s="22">
        <f t="shared" si="112"/>
        <v>1.3862943611198906</v>
      </c>
      <c r="AS372" s="22">
        <f t="shared" si="113"/>
        <v>1.6094379124341003</v>
      </c>
    </row>
    <row r="373" spans="1:45" x14ac:dyDescent="0.25">
      <c r="A373" s="1" t="s">
        <v>10</v>
      </c>
      <c r="B373" s="11">
        <v>43654</v>
      </c>
      <c r="C373">
        <v>189</v>
      </c>
      <c r="D373">
        <v>2019</v>
      </c>
      <c r="E373">
        <v>1001</v>
      </c>
      <c r="F373" s="1">
        <v>58100</v>
      </c>
      <c r="G373" s="44">
        <f t="shared" si="103"/>
        <v>1</v>
      </c>
      <c r="H373" s="6">
        <v>42.624499999999998</v>
      </c>
      <c r="I373" s="6">
        <v>-81.007000000000005</v>
      </c>
      <c r="J373">
        <v>42.632766666666669</v>
      </c>
      <c r="K373">
        <v>-81.01636666666667</v>
      </c>
      <c r="L373">
        <v>41.96221666666667</v>
      </c>
      <c r="M373">
        <v>-80.744650000000007</v>
      </c>
      <c r="N373" s="22">
        <f t="shared" si="114"/>
        <v>1.2492886865022972E-2</v>
      </c>
      <c r="O373" s="22">
        <f t="shared" si="115"/>
        <v>0.7123529575365728</v>
      </c>
      <c r="P373" s="22">
        <f t="shared" si="102"/>
        <v>1.2492886865022972E-2</v>
      </c>
      <c r="Q373">
        <v>22.3</v>
      </c>
      <c r="R373">
        <v>22</v>
      </c>
      <c r="S373">
        <v>13.5</v>
      </c>
      <c r="T373">
        <v>5</v>
      </c>
      <c r="U373" s="1">
        <v>0</v>
      </c>
      <c r="V373">
        <v>2150</v>
      </c>
      <c r="W373">
        <v>20</v>
      </c>
      <c r="X373">
        <v>1.04</v>
      </c>
      <c r="Y373">
        <v>443</v>
      </c>
      <c r="Z373" s="28">
        <f t="shared" si="104"/>
        <v>0</v>
      </c>
      <c r="AA373" s="28">
        <f t="shared" si="105"/>
        <v>10.7</v>
      </c>
      <c r="AB373" s="28">
        <f t="shared" si="106"/>
        <v>0</v>
      </c>
      <c r="AC373" s="28">
        <f t="shared" si="107"/>
        <v>0</v>
      </c>
      <c r="AD373" s="28">
        <f t="shared" si="108"/>
        <v>11.45</v>
      </c>
      <c r="AE373" s="28">
        <f t="shared" si="97"/>
        <v>0</v>
      </c>
      <c r="AF373" s="28">
        <f t="shared" si="98"/>
        <v>0.48306997742663654</v>
      </c>
      <c r="AG373" s="28">
        <f t="shared" si="99"/>
        <v>0</v>
      </c>
      <c r="AH373" s="28">
        <f t="shared" si="100"/>
        <v>0</v>
      </c>
      <c r="AI373" s="28">
        <f t="shared" si="101"/>
        <v>0.5169300225733634</v>
      </c>
      <c r="AJ373">
        <v>0</v>
      </c>
      <c r="AK373">
        <v>214</v>
      </c>
      <c r="AL373">
        <v>0</v>
      </c>
      <c r="AM373">
        <v>0</v>
      </c>
      <c r="AN373">
        <v>229</v>
      </c>
      <c r="AO373" s="22">
        <f t="shared" si="109"/>
        <v>0</v>
      </c>
      <c r="AP373" s="22">
        <f t="shared" si="110"/>
        <v>5.3706380281276624</v>
      </c>
      <c r="AQ373" s="22">
        <f t="shared" si="111"/>
        <v>0</v>
      </c>
      <c r="AR373" s="22">
        <f t="shared" si="112"/>
        <v>0</v>
      </c>
      <c r="AS373" s="22">
        <f t="shared" si="113"/>
        <v>5.4380793089231956</v>
      </c>
    </row>
    <row r="374" spans="1:45" x14ac:dyDescent="0.25">
      <c r="A374" s="1" t="s">
        <v>10</v>
      </c>
      <c r="B374" s="11">
        <v>43654</v>
      </c>
      <c r="C374">
        <v>189</v>
      </c>
      <c r="D374">
        <v>2019</v>
      </c>
      <c r="E374">
        <v>1002</v>
      </c>
      <c r="F374" s="1">
        <v>58100</v>
      </c>
      <c r="G374" s="44">
        <f t="shared" si="103"/>
        <v>1</v>
      </c>
      <c r="H374" s="6">
        <v>42.604999999999997</v>
      </c>
      <c r="I374" s="6">
        <v>-81.000166666666672</v>
      </c>
      <c r="J374">
        <v>42.632766666666669</v>
      </c>
      <c r="K374">
        <v>-81.01636666666667</v>
      </c>
      <c r="L374">
        <v>41.96221666666667</v>
      </c>
      <c r="M374">
        <v>-80.744650000000007</v>
      </c>
      <c r="N374" s="22">
        <f t="shared" si="114"/>
        <v>3.2146971517982716E-2</v>
      </c>
      <c r="O374" s="22">
        <f t="shared" si="115"/>
        <v>0.69170743855733285</v>
      </c>
      <c r="P374" s="22">
        <f t="shared" si="102"/>
        <v>3.2146971517982716E-2</v>
      </c>
      <c r="Q374">
        <v>22.1</v>
      </c>
      <c r="R374">
        <v>14.8</v>
      </c>
      <c r="S374">
        <v>15.9</v>
      </c>
      <c r="T374">
        <v>10</v>
      </c>
      <c r="U374" s="1">
        <v>0</v>
      </c>
      <c r="V374">
        <v>2242</v>
      </c>
      <c r="W374">
        <v>20</v>
      </c>
      <c r="X374">
        <v>0.96</v>
      </c>
      <c r="Y374">
        <v>688</v>
      </c>
      <c r="Z374" s="28">
        <f t="shared" si="104"/>
        <v>0</v>
      </c>
      <c r="AA374" s="28">
        <f t="shared" si="105"/>
        <v>23.25</v>
      </c>
      <c r="AB374" s="28">
        <f t="shared" si="106"/>
        <v>0.15</v>
      </c>
      <c r="AC374" s="28">
        <f t="shared" si="107"/>
        <v>0</v>
      </c>
      <c r="AD374" s="28">
        <f t="shared" si="108"/>
        <v>10.9</v>
      </c>
      <c r="AE374" s="28">
        <f t="shared" si="97"/>
        <v>0</v>
      </c>
      <c r="AF374" s="28">
        <f t="shared" si="98"/>
        <v>0.67587209302325579</v>
      </c>
      <c r="AG374" s="28">
        <f t="shared" si="99"/>
        <v>4.3604651162790697E-3</v>
      </c>
      <c r="AH374" s="28">
        <f t="shared" si="100"/>
        <v>0</v>
      </c>
      <c r="AI374" s="28">
        <f t="shared" si="101"/>
        <v>0.31686046511627908</v>
      </c>
      <c r="AJ374">
        <v>0</v>
      </c>
      <c r="AK374">
        <v>465</v>
      </c>
      <c r="AL374">
        <v>3</v>
      </c>
      <c r="AM374">
        <v>0</v>
      </c>
      <c r="AN374">
        <v>218</v>
      </c>
      <c r="AO374" s="22">
        <f t="shared" si="109"/>
        <v>0</v>
      </c>
      <c r="AP374" s="22">
        <f t="shared" si="110"/>
        <v>6.1441856341256456</v>
      </c>
      <c r="AQ374" s="22">
        <f t="shared" si="111"/>
        <v>1.3862943611198906</v>
      </c>
      <c r="AR374" s="22">
        <f t="shared" si="112"/>
        <v>0</v>
      </c>
      <c r="AS374" s="22">
        <f t="shared" si="113"/>
        <v>5.389071729816501</v>
      </c>
    </row>
    <row r="375" spans="1:45" x14ac:dyDescent="0.25">
      <c r="A375" s="1" t="s">
        <v>10</v>
      </c>
      <c r="B375" s="11">
        <v>43654</v>
      </c>
      <c r="C375">
        <v>189</v>
      </c>
      <c r="D375">
        <v>2019</v>
      </c>
      <c r="E375">
        <v>1003</v>
      </c>
      <c r="F375" s="1">
        <v>58100</v>
      </c>
      <c r="G375" s="44">
        <f t="shared" si="103"/>
        <v>1</v>
      </c>
      <c r="H375" s="13">
        <v>42.533000000000001</v>
      </c>
      <c r="I375" s="6">
        <v>-80.972999999999999</v>
      </c>
      <c r="J375">
        <v>42.632766666666669</v>
      </c>
      <c r="K375">
        <v>-81.01636666666667</v>
      </c>
      <c r="L375">
        <v>41.96221666666667</v>
      </c>
      <c r="M375">
        <v>-80.744650000000007</v>
      </c>
      <c r="N375" s="22">
        <f t="shared" si="114"/>
        <v>0.10878444537504471</v>
      </c>
      <c r="O375" s="22">
        <f t="shared" si="115"/>
        <v>0.61476608243388398</v>
      </c>
      <c r="P375" s="22">
        <f t="shared" si="102"/>
        <v>0.10878444537504471</v>
      </c>
      <c r="Q375">
        <v>22.5</v>
      </c>
      <c r="R375">
        <v>21.8</v>
      </c>
      <c r="S375">
        <v>19.8</v>
      </c>
      <c r="T375" s="12">
        <v>5</v>
      </c>
      <c r="U375" s="47">
        <v>0</v>
      </c>
      <c r="V375">
        <v>2416</v>
      </c>
      <c r="W375">
        <v>20</v>
      </c>
      <c r="X375">
        <v>0.99</v>
      </c>
      <c r="Y375">
        <v>111</v>
      </c>
      <c r="Z375" s="28">
        <f t="shared" si="104"/>
        <v>0</v>
      </c>
      <c r="AA375" s="28">
        <f t="shared" si="105"/>
        <v>1.2</v>
      </c>
      <c r="AB375" s="28">
        <f t="shared" si="106"/>
        <v>0</v>
      </c>
      <c r="AC375" s="28">
        <f t="shared" si="107"/>
        <v>0</v>
      </c>
      <c r="AD375" s="28">
        <f t="shared" si="108"/>
        <v>4.3499999999999996</v>
      </c>
      <c r="AE375" s="28">
        <f t="shared" ref="AE375:AE407" si="116">AJ375/$Y375</f>
        <v>0</v>
      </c>
      <c r="AF375" s="28">
        <f t="shared" ref="AF375:AF407" si="117">AK375/$Y375</f>
        <v>0.21621621621621623</v>
      </c>
      <c r="AG375" s="28">
        <f t="shared" ref="AG375:AG407" si="118">AL375/$Y375</f>
        <v>0</v>
      </c>
      <c r="AH375" s="28">
        <f t="shared" ref="AH375:AH407" si="119">AM375/$Y375</f>
        <v>0</v>
      </c>
      <c r="AI375" s="28">
        <f t="shared" ref="AI375:AI407" si="120">AN375/$Y375</f>
        <v>0.78378378378378377</v>
      </c>
      <c r="AJ375">
        <v>0</v>
      </c>
      <c r="AK375">
        <v>24</v>
      </c>
      <c r="AL375">
        <v>0</v>
      </c>
      <c r="AM375">
        <v>0</v>
      </c>
      <c r="AN375">
        <v>87</v>
      </c>
      <c r="AO375" s="22">
        <f t="shared" si="109"/>
        <v>0</v>
      </c>
      <c r="AP375" s="22">
        <f t="shared" si="110"/>
        <v>3.2188758248682006</v>
      </c>
      <c r="AQ375" s="22">
        <f t="shared" si="111"/>
        <v>0</v>
      </c>
      <c r="AR375" s="22">
        <f t="shared" si="112"/>
        <v>0</v>
      </c>
      <c r="AS375" s="22">
        <f t="shared" si="113"/>
        <v>4.4773368144782069</v>
      </c>
    </row>
    <row r="376" spans="1:45" x14ac:dyDescent="0.25">
      <c r="A376" s="1" t="s">
        <v>10</v>
      </c>
      <c r="B376" s="11">
        <v>43655</v>
      </c>
      <c r="C376">
        <v>190</v>
      </c>
      <c r="D376">
        <v>2019</v>
      </c>
      <c r="E376">
        <v>1004</v>
      </c>
      <c r="F376" s="1">
        <v>58100</v>
      </c>
      <c r="G376" s="44">
        <f t="shared" si="103"/>
        <v>1</v>
      </c>
      <c r="H376" s="6">
        <v>42.525833333333331</v>
      </c>
      <c r="I376" s="6">
        <v>-80.964833333333331</v>
      </c>
      <c r="J376">
        <v>42.632766666666669</v>
      </c>
      <c r="K376">
        <v>-81.01636666666667</v>
      </c>
      <c r="L376">
        <v>41.96221666666667</v>
      </c>
      <c r="M376">
        <v>-80.744650000000007</v>
      </c>
      <c r="N376" s="22">
        <f t="shared" si="114"/>
        <v>0.11870308429953992</v>
      </c>
      <c r="O376" s="22">
        <f t="shared" si="115"/>
        <v>0.60509870866017545</v>
      </c>
      <c r="P376" s="22">
        <f t="shared" si="102"/>
        <v>0.11870308429953992</v>
      </c>
      <c r="Q376">
        <v>22.1</v>
      </c>
      <c r="R376">
        <v>17.399999999999999</v>
      </c>
      <c r="S376">
        <v>19.7</v>
      </c>
      <c r="T376">
        <v>9</v>
      </c>
      <c r="U376" s="47">
        <v>0</v>
      </c>
      <c r="V376">
        <v>2452</v>
      </c>
      <c r="W376">
        <v>20</v>
      </c>
      <c r="X376">
        <v>0.97</v>
      </c>
      <c r="Y376">
        <v>692</v>
      </c>
      <c r="Z376" s="28">
        <f t="shared" si="104"/>
        <v>0.05</v>
      </c>
      <c r="AA376" s="28">
        <f t="shared" si="105"/>
        <v>28.45</v>
      </c>
      <c r="AB376" s="28">
        <f t="shared" si="106"/>
        <v>0</v>
      </c>
      <c r="AC376" s="28">
        <f t="shared" si="107"/>
        <v>0</v>
      </c>
      <c r="AD376" s="28">
        <f t="shared" si="108"/>
        <v>6.1</v>
      </c>
      <c r="AE376" s="28">
        <f t="shared" si="116"/>
        <v>1.4450867052023121E-3</v>
      </c>
      <c r="AF376" s="28">
        <f t="shared" si="117"/>
        <v>0.8222543352601156</v>
      </c>
      <c r="AG376" s="28">
        <f t="shared" si="118"/>
        <v>0</v>
      </c>
      <c r="AH376" s="28">
        <f t="shared" si="119"/>
        <v>0</v>
      </c>
      <c r="AI376" s="28">
        <f t="shared" si="120"/>
        <v>0.17630057803468208</v>
      </c>
      <c r="AJ376">
        <v>1</v>
      </c>
      <c r="AK376">
        <v>569</v>
      </c>
      <c r="AL376" s="28">
        <v>0</v>
      </c>
      <c r="AM376">
        <v>0</v>
      </c>
      <c r="AN376">
        <v>122</v>
      </c>
      <c r="AO376" s="22">
        <f t="shared" si="109"/>
        <v>0.69314718055994529</v>
      </c>
      <c r="AP376" s="22">
        <f t="shared" si="110"/>
        <v>6.3456363608285962</v>
      </c>
      <c r="AQ376" s="22">
        <f t="shared" si="111"/>
        <v>0</v>
      </c>
      <c r="AR376" s="22">
        <f t="shared" si="112"/>
        <v>0</v>
      </c>
      <c r="AS376" s="22">
        <f t="shared" si="113"/>
        <v>4.8121843553724171</v>
      </c>
    </row>
    <row r="377" spans="1:45" x14ac:dyDescent="0.25">
      <c r="A377" s="1" t="s">
        <v>10</v>
      </c>
      <c r="B377" s="11">
        <v>43655</v>
      </c>
      <c r="C377">
        <v>190</v>
      </c>
      <c r="D377">
        <v>2019</v>
      </c>
      <c r="E377">
        <v>1005</v>
      </c>
      <c r="F377" s="1">
        <v>58100</v>
      </c>
      <c r="G377" s="44">
        <f t="shared" si="103"/>
        <v>1</v>
      </c>
      <c r="H377" s="6">
        <v>42.539333333333332</v>
      </c>
      <c r="I377" s="6">
        <v>-80.974666666666664</v>
      </c>
      <c r="J377">
        <v>42.632766666666669</v>
      </c>
      <c r="K377">
        <v>-81.01636666666667</v>
      </c>
      <c r="L377">
        <v>41.96221666666667</v>
      </c>
      <c r="M377">
        <v>-80.744650000000007</v>
      </c>
      <c r="N377" s="22">
        <f t="shared" si="114"/>
        <v>0.10231655671385231</v>
      </c>
      <c r="O377" s="22">
        <f t="shared" si="115"/>
        <v>0.62126589628666939</v>
      </c>
      <c r="P377" s="22">
        <f t="shared" si="102"/>
        <v>0.10231655671385231</v>
      </c>
      <c r="Q377">
        <v>22.2</v>
      </c>
      <c r="R377">
        <v>14.9</v>
      </c>
      <c r="S377">
        <v>19.2</v>
      </c>
      <c r="T377">
        <v>10</v>
      </c>
      <c r="U377" s="1">
        <v>0</v>
      </c>
      <c r="V377">
        <v>2546</v>
      </c>
      <c r="W377">
        <v>20</v>
      </c>
      <c r="X377">
        <v>0.99</v>
      </c>
      <c r="Y377">
        <v>136</v>
      </c>
      <c r="Z377" s="28">
        <f t="shared" si="104"/>
        <v>0</v>
      </c>
      <c r="AA377" s="28">
        <f t="shared" si="105"/>
        <v>6.2</v>
      </c>
      <c r="AB377" s="28">
        <f t="shared" si="106"/>
        <v>0</v>
      </c>
      <c r="AC377" s="28">
        <f t="shared" si="107"/>
        <v>0</v>
      </c>
      <c r="AD377" s="28">
        <f t="shared" si="108"/>
        <v>0.55000000000000004</v>
      </c>
      <c r="AE377" s="28">
        <f t="shared" si="116"/>
        <v>0</v>
      </c>
      <c r="AF377" s="28">
        <f t="shared" si="117"/>
        <v>0.91176470588235292</v>
      </c>
      <c r="AG377" s="28">
        <f t="shared" si="118"/>
        <v>0</v>
      </c>
      <c r="AH377" s="28">
        <f t="shared" si="119"/>
        <v>0</v>
      </c>
      <c r="AI377" s="28">
        <f t="shared" si="120"/>
        <v>8.0882352941176475E-2</v>
      </c>
      <c r="AJ377">
        <v>0</v>
      </c>
      <c r="AK377">
        <v>124</v>
      </c>
      <c r="AL377" s="28">
        <v>0</v>
      </c>
      <c r="AM377">
        <v>0</v>
      </c>
      <c r="AN377">
        <v>11</v>
      </c>
      <c r="AO377" s="22">
        <f t="shared" si="109"/>
        <v>0</v>
      </c>
      <c r="AP377" s="22">
        <f t="shared" si="110"/>
        <v>4.8283137373023015</v>
      </c>
      <c r="AQ377" s="22">
        <f t="shared" si="111"/>
        <v>0</v>
      </c>
      <c r="AR377" s="22">
        <f t="shared" si="112"/>
        <v>0</v>
      </c>
      <c r="AS377" s="22">
        <f t="shared" si="113"/>
        <v>2.4849066497880004</v>
      </c>
    </row>
    <row r="378" spans="1:45" x14ac:dyDescent="0.25">
      <c r="A378" s="1" t="s">
        <v>10</v>
      </c>
      <c r="B378" s="11">
        <v>43655</v>
      </c>
      <c r="C378">
        <v>190</v>
      </c>
      <c r="D378">
        <v>2019</v>
      </c>
      <c r="E378">
        <v>1006</v>
      </c>
      <c r="F378" s="1">
        <v>58100</v>
      </c>
      <c r="G378" s="44">
        <f t="shared" si="103"/>
        <v>1</v>
      </c>
      <c r="H378" s="6">
        <v>42.380833333333335</v>
      </c>
      <c r="I378" s="6">
        <v>-80.917666666666662</v>
      </c>
      <c r="J378">
        <v>42.632766666666669</v>
      </c>
      <c r="K378">
        <v>-81.01636666666667</v>
      </c>
      <c r="L378">
        <v>41.96221666666667</v>
      </c>
      <c r="M378">
        <v>-80.744650000000007</v>
      </c>
      <c r="N378" s="22">
        <f t="shared" si="114"/>
        <v>0.27057733542269602</v>
      </c>
      <c r="O378" s="22">
        <f t="shared" si="115"/>
        <v>0.45296211823457166</v>
      </c>
      <c r="P378" s="22">
        <f t="shared" si="102"/>
        <v>0.27057733542269602</v>
      </c>
      <c r="Q378">
        <v>21.1</v>
      </c>
      <c r="R378">
        <v>21.1</v>
      </c>
      <c r="S378">
        <v>21.6</v>
      </c>
      <c r="T378">
        <v>5</v>
      </c>
      <c r="U378" s="1">
        <v>0</v>
      </c>
      <c r="V378">
        <v>2745</v>
      </c>
      <c r="W378">
        <v>20</v>
      </c>
      <c r="X378">
        <v>1.02</v>
      </c>
      <c r="Y378">
        <v>114</v>
      </c>
      <c r="Z378" s="28">
        <f t="shared" si="104"/>
        <v>0</v>
      </c>
      <c r="AA378" s="28">
        <f t="shared" si="105"/>
        <v>4.4000000000000004</v>
      </c>
      <c r="AB378" s="28">
        <f t="shared" si="106"/>
        <v>0</v>
      </c>
      <c r="AC378" s="28">
        <f t="shared" si="107"/>
        <v>0</v>
      </c>
      <c r="AD378" s="28">
        <f t="shared" si="108"/>
        <v>1.3</v>
      </c>
      <c r="AE378" s="28">
        <f t="shared" si="116"/>
        <v>0</v>
      </c>
      <c r="AF378" s="28">
        <f t="shared" si="117"/>
        <v>0.77192982456140347</v>
      </c>
      <c r="AG378" s="28">
        <f t="shared" si="118"/>
        <v>0</v>
      </c>
      <c r="AH378" s="28">
        <f t="shared" si="119"/>
        <v>0</v>
      </c>
      <c r="AI378" s="28">
        <f t="shared" si="120"/>
        <v>0.22807017543859648</v>
      </c>
      <c r="AJ378" s="28">
        <v>0</v>
      </c>
      <c r="AK378">
        <v>88</v>
      </c>
      <c r="AL378" s="28">
        <v>0</v>
      </c>
      <c r="AM378">
        <v>0</v>
      </c>
      <c r="AN378">
        <v>26</v>
      </c>
      <c r="AO378" s="22">
        <f t="shared" si="109"/>
        <v>0</v>
      </c>
      <c r="AP378" s="22">
        <f t="shared" si="110"/>
        <v>4.4886363697321396</v>
      </c>
      <c r="AQ378" s="22">
        <f t="shared" si="111"/>
        <v>0</v>
      </c>
      <c r="AR378" s="22">
        <f t="shared" si="112"/>
        <v>0</v>
      </c>
      <c r="AS378" s="22">
        <f t="shared" si="113"/>
        <v>3.2958368660043291</v>
      </c>
    </row>
    <row r="379" spans="1:45" x14ac:dyDescent="0.25">
      <c r="A379" s="1" t="s">
        <v>10</v>
      </c>
      <c r="B379" s="11">
        <v>43655</v>
      </c>
      <c r="C379">
        <v>190</v>
      </c>
      <c r="D379">
        <v>2019</v>
      </c>
      <c r="E379">
        <v>1007</v>
      </c>
      <c r="F379" s="1">
        <v>58100</v>
      </c>
      <c r="G379" s="44">
        <f t="shared" si="103"/>
        <v>1</v>
      </c>
      <c r="H379" s="6">
        <v>42.362499999999997</v>
      </c>
      <c r="I379" s="6">
        <v>-80.912999999999997</v>
      </c>
      <c r="J379">
        <v>42.632766666666669</v>
      </c>
      <c r="K379">
        <v>-81.01636666666667</v>
      </c>
      <c r="L379">
        <v>41.96221666666667</v>
      </c>
      <c r="M379">
        <v>-80.744650000000007</v>
      </c>
      <c r="N379" s="22">
        <f t="shared" si="114"/>
        <v>0.28935918663296811</v>
      </c>
      <c r="O379" s="22">
        <f t="shared" si="115"/>
        <v>0.43424471147549504</v>
      </c>
      <c r="P379" s="22">
        <f t="shared" si="102"/>
        <v>0.28935918663296811</v>
      </c>
      <c r="Q379">
        <v>21.1</v>
      </c>
      <c r="R379">
        <v>20.8</v>
      </c>
      <c r="S379">
        <v>21.8</v>
      </c>
      <c r="T379">
        <v>8</v>
      </c>
      <c r="U379" s="1">
        <v>0</v>
      </c>
      <c r="V379">
        <v>2828</v>
      </c>
      <c r="W379">
        <v>20</v>
      </c>
      <c r="X379">
        <v>0.99</v>
      </c>
      <c r="Y379">
        <v>160</v>
      </c>
      <c r="Z379" s="28">
        <f t="shared" si="104"/>
        <v>0</v>
      </c>
      <c r="AA379" s="28">
        <f t="shared" si="105"/>
        <v>6.85</v>
      </c>
      <c r="AB379" s="28">
        <f t="shared" si="106"/>
        <v>0</v>
      </c>
      <c r="AC379" s="28">
        <f t="shared" si="107"/>
        <v>0</v>
      </c>
      <c r="AD379" s="28">
        <f t="shared" si="108"/>
        <v>1.1499999999999999</v>
      </c>
      <c r="AE379" s="28">
        <f t="shared" si="116"/>
        <v>0</v>
      </c>
      <c r="AF379" s="28">
        <f t="shared" si="117"/>
        <v>0.85624999999999996</v>
      </c>
      <c r="AG379" s="28">
        <f t="shared" si="118"/>
        <v>0</v>
      </c>
      <c r="AH379" s="28">
        <f t="shared" si="119"/>
        <v>0</v>
      </c>
      <c r="AI379" s="28">
        <f t="shared" si="120"/>
        <v>0.14374999999999999</v>
      </c>
      <c r="AJ379" s="28">
        <v>0</v>
      </c>
      <c r="AK379">
        <v>137</v>
      </c>
      <c r="AL379" s="28">
        <v>0</v>
      </c>
      <c r="AM379">
        <v>0</v>
      </c>
      <c r="AN379">
        <v>23</v>
      </c>
      <c r="AO379" s="22">
        <f t="shared" si="109"/>
        <v>0</v>
      </c>
      <c r="AP379" s="22">
        <f t="shared" si="110"/>
        <v>4.9272536851572051</v>
      </c>
      <c r="AQ379" s="22">
        <f t="shared" si="111"/>
        <v>0</v>
      </c>
      <c r="AR379" s="22">
        <f t="shared" si="112"/>
        <v>0</v>
      </c>
      <c r="AS379" s="22">
        <f t="shared" si="113"/>
        <v>3.1780538303479458</v>
      </c>
    </row>
    <row r="380" spans="1:45" x14ac:dyDescent="0.25">
      <c r="A380" s="1" t="s">
        <v>10</v>
      </c>
      <c r="B380" s="11">
        <v>43655</v>
      </c>
      <c r="C380">
        <v>190</v>
      </c>
      <c r="D380">
        <v>2019</v>
      </c>
      <c r="E380">
        <v>1008</v>
      </c>
      <c r="F380" s="1">
        <v>58100</v>
      </c>
      <c r="G380" s="44">
        <f t="shared" si="103"/>
        <v>1</v>
      </c>
      <c r="H380" s="6">
        <v>42.374833333333335</v>
      </c>
      <c r="I380" s="6">
        <v>-80.918333333333337</v>
      </c>
      <c r="J380">
        <v>42.632766666666669</v>
      </c>
      <c r="K380">
        <v>-81.01636666666667</v>
      </c>
      <c r="L380">
        <v>41.96221666666667</v>
      </c>
      <c r="M380">
        <v>-80.744650000000007</v>
      </c>
      <c r="N380" s="22">
        <f t="shared" si="114"/>
        <v>0.275935026571273</v>
      </c>
      <c r="O380" s="22">
        <f t="shared" si="115"/>
        <v>0.44768115203667669</v>
      </c>
      <c r="P380" s="22">
        <f t="shared" si="102"/>
        <v>0.275935026571273</v>
      </c>
      <c r="Q380">
        <v>21.1</v>
      </c>
      <c r="R380">
        <v>17.3</v>
      </c>
      <c r="S380">
        <v>21.7</v>
      </c>
      <c r="T380">
        <v>15</v>
      </c>
      <c r="U380" s="1">
        <v>0</v>
      </c>
      <c r="V380">
        <v>2909</v>
      </c>
      <c r="W380">
        <v>20</v>
      </c>
      <c r="X380">
        <v>0.96</v>
      </c>
      <c r="Y380">
        <v>45</v>
      </c>
      <c r="Z380" s="28">
        <f t="shared" si="104"/>
        <v>0</v>
      </c>
      <c r="AA380" s="28">
        <f t="shared" si="105"/>
        <v>2.1</v>
      </c>
      <c r="AB380" s="28">
        <f t="shared" si="106"/>
        <v>0</v>
      </c>
      <c r="AC380" s="28">
        <f t="shared" si="107"/>
        <v>0</v>
      </c>
      <c r="AD380" s="28">
        <f t="shared" si="108"/>
        <v>0.15</v>
      </c>
      <c r="AE380" s="28">
        <f t="shared" si="116"/>
        <v>0</v>
      </c>
      <c r="AF380" s="28">
        <f t="shared" si="117"/>
        <v>0.93333333333333335</v>
      </c>
      <c r="AG380" s="28">
        <f t="shared" si="118"/>
        <v>0</v>
      </c>
      <c r="AH380" s="28">
        <f t="shared" si="119"/>
        <v>0</v>
      </c>
      <c r="AI380" s="28">
        <f t="shared" si="120"/>
        <v>6.6666666666666666E-2</v>
      </c>
      <c r="AJ380" s="28">
        <v>0</v>
      </c>
      <c r="AK380">
        <v>42</v>
      </c>
      <c r="AL380" s="28">
        <v>0</v>
      </c>
      <c r="AM380">
        <v>0</v>
      </c>
      <c r="AN380">
        <v>3</v>
      </c>
      <c r="AO380" s="22">
        <f t="shared" si="109"/>
        <v>0</v>
      </c>
      <c r="AP380" s="22">
        <f t="shared" si="110"/>
        <v>3.7612001156935624</v>
      </c>
      <c r="AQ380" s="22">
        <f t="shared" si="111"/>
        <v>0</v>
      </c>
      <c r="AR380" s="22">
        <f t="shared" si="112"/>
        <v>0</v>
      </c>
      <c r="AS380" s="22">
        <f t="shared" si="113"/>
        <v>1.3862943611198906</v>
      </c>
    </row>
    <row r="381" spans="1:45" x14ac:dyDescent="0.25">
      <c r="A381" s="1" t="s">
        <v>10</v>
      </c>
      <c r="B381" s="11">
        <v>43655</v>
      </c>
      <c r="C381">
        <v>190</v>
      </c>
      <c r="D381">
        <v>2019</v>
      </c>
      <c r="E381">
        <v>1009</v>
      </c>
      <c r="F381" s="1">
        <v>58100</v>
      </c>
      <c r="G381" s="44">
        <f t="shared" si="103"/>
        <v>1</v>
      </c>
      <c r="H381" s="6">
        <v>42.358499999999999</v>
      </c>
      <c r="I381" s="6">
        <v>-80.913666666666671</v>
      </c>
      <c r="J381">
        <v>42.632766666666669</v>
      </c>
      <c r="K381">
        <v>-81.01636666666667</v>
      </c>
      <c r="L381">
        <v>41.96221666666667</v>
      </c>
      <c r="M381">
        <v>-80.744650000000007</v>
      </c>
      <c r="N381" s="22">
        <f t="shared" si="114"/>
        <v>0.29286429356349608</v>
      </c>
      <c r="O381" s="22">
        <f t="shared" si="115"/>
        <v>0.43082144084166102</v>
      </c>
      <c r="P381" s="22">
        <f t="shared" si="102"/>
        <v>0.29286429356349608</v>
      </c>
      <c r="Q381">
        <v>21.1</v>
      </c>
      <c r="R381">
        <v>14.4</v>
      </c>
      <c r="S381">
        <v>21.9</v>
      </c>
      <c r="T381">
        <v>17</v>
      </c>
      <c r="U381" s="1">
        <v>1</v>
      </c>
      <c r="V381">
        <v>2941</v>
      </c>
      <c r="W381">
        <v>20</v>
      </c>
      <c r="X381">
        <v>0.99</v>
      </c>
      <c r="Y381">
        <v>24</v>
      </c>
      <c r="Z381" s="28">
        <f t="shared" si="104"/>
        <v>0</v>
      </c>
      <c r="AA381" s="28">
        <f t="shared" si="105"/>
        <v>1.2</v>
      </c>
      <c r="AB381" s="28">
        <f t="shared" si="106"/>
        <v>0</v>
      </c>
      <c r="AC381" s="28">
        <f t="shared" si="107"/>
        <v>0</v>
      </c>
      <c r="AD381" s="28">
        <f t="shared" si="108"/>
        <v>0</v>
      </c>
      <c r="AE381" s="28">
        <f t="shared" si="116"/>
        <v>0</v>
      </c>
      <c r="AF381" s="28">
        <f t="shared" si="117"/>
        <v>1</v>
      </c>
      <c r="AG381" s="28">
        <f t="shared" si="118"/>
        <v>0</v>
      </c>
      <c r="AH381" s="28">
        <f t="shared" si="119"/>
        <v>0</v>
      </c>
      <c r="AI381" s="28">
        <f t="shared" si="120"/>
        <v>0</v>
      </c>
      <c r="AJ381" s="28">
        <v>0</v>
      </c>
      <c r="AK381">
        <v>24</v>
      </c>
      <c r="AL381" s="28">
        <v>0</v>
      </c>
      <c r="AM381">
        <v>0</v>
      </c>
      <c r="AN381">
        <v>0</v>
      </c>
      <c r="AO381" s="22">
        <f t="shared" si="109"/>
        <v>0</v>
      </c>
      <c r="AP381" s="22">
        <f t="shared" si="110"/>
        <v>3.2188758248682006</v>
      </c>
      <c r="AQ381" s="22">
        <f t="shared" si="111"/>
        <v>0</v>
      </c>
      <c r="AR381" s="22">
        <f t="shared" si="112"/>
        <v>0</v>
      </c>
      <c r="AS381" s="22">
        <f t="shared" si="113"/>
        <v>0</v>
      </c>
    </row>
    <row r="382" spans="1:45" x14ac:dyDescent="0.25">
      <c r="A382" s="1" t="s">
        <v>10</v>
      </c>
      <c r="B382" s="11">
        <v>43655</v>
      </c>
      <c r="C382">
        <v>190</v>
      </c>
      <c r="D382">
        <v>2019</v>
      </c>
      <c r="E382">
        <v>2001</v>
      </c>
      <c r="F382" s="1">
        <v>57850</v>
      </c>
      <c r="G382" s="44">
        <f t="shared" si="103"/>
        <v>1</v>
      </c>
      <c r="H382" s="6">
        <v>42.55683333333333</v>
      </c>
      <c r="I382" s="6">
        <v>-81.467500000000001</v>
      </c>
      <c r="J382">
        <v>42.566916666666664</v>
      </c>
      <c r="K382">
        <v>-81.47208333333333</v>
      </c>
      <c r="L382">
        <v>41.819366666666667</v>
      </c>
      <c r="M382">
        <v>-81.155166666666673</v>
      </c>
      <c r="N382" s="22">
        <f t="shared" si="114"/>
        <v>1.1076125475794008E-2</v>
      </c>
      <c r="O382" s="22">
        <f t="shared" si="115"/>
        <v>0.8008802629329469</v>
      </c>
      <c r="P382" s="22">
        <f t="shared" si="102"/>
        <v>1.1076125475794008E-2</v>
      </c>
      <c r="Q382">
        <v>22.9</v>
      </c>
      <c r="R382">
        <v>22.3</v>
      </c>
      <c r="S382">
        <v>12.1</v>
      </c>
      <c r="T382">
        <v>6</v>
      </c>
      <c r="U382" s="1">
        <v>0</v>
      </c>
      <c r="V382">
        <v>2152</v>
      </c>
      <c r="W382">
        <v>20</v>
      </c>
      <c r="X382">
        <v>1.05</v>
      </c>
      <c r="Y382">
        <v>155</v>
      </c>
      <c r="Z382" s="28">
        <f t="shared" si="104"/>
        <v>0</v>
      </c>
      <c r="AA382" s="28">
        <f t="shared" si="105"/>
        <v>5.8</v>
      </c>
      <c r="AB382" s="28">
        <f t="shared" si="106"/>
        <v>0</v>
      </c>
      <c r="AC382" s="28">
        <f t="shared" si="107"/>
        <v>0</v>
      </c>
      <c r="AD382" s="28">
        <f t="shared" si="108"/>
        <v>1.85</v>
      </c>
      <c r="AE382" s="28">
        <f t="shared" si="116"/>
        <v>0</v>
      </c>
      <c r="AF382" s="28">
        <f t="shared" si="117"/>
        <v>0.74838709677419357</v>
      </c>
      <c r="AG382" s="28">
        <f t="shared" si="118"/>
        <v>0</v>
      </c>
      <c r="AH382" s="28">
        <f t="shared" si="119"/>
        <v>0</v>
      </c>
      <c r="AI382" s="28">
        <f t="shared" si="120"/>
        <v>0.23870967741935484</v>
      </c>
      <c r="AJ382" s="28">
        <v>0</v>
      </c>
      <c r="AK382">
        <v>116</v>
      </c>
      <c r="AL382" s="28">
        <v>0</v>
      </c>
      <c r="AM382">
        <v>0</v>
      </c>
      <c r="AN382">
        <v>37</v>
      </c>
      <c r="AO382" s="22">
        <f t="shared" si="109"/>
        <v>0</v>
      </c>
      <c r="AP382" s="22">
        <f t="shared" si="110"/>
        <v>4.7621739347977563</v>
      </c>
      <c r="AQ382" s="22">
        <f t="shared" si="111"/>
        <v>0</v>
      </c>
      <c r="AR382" s="22">
        <f t="shared" si="112"/>
        <v>0</v>
      </c>
      <c r="AS382" s="22">
        <f t="shared" si="113"/>
        <v>3.6375861597263857</v>
      </c>
    </row>
    <row r="383" spans="1:45" x14ac:dyDescent="0.25">
      <c r="A383" s="1" t="s">
        <v>10</v>
      </c>
      <c r="B383" s="11">
        <v>43655</v>
      </c>
      <c r="C383">
        <v>190</v>
      </c>
      <c r="D383">
        <v>2019</v>
      </c>
      <c r="E383">
        <v>2002</v>
      </c>
      <c r="F383" s="1">
        <v>57850</v>
      </c>
      <c r="G383" s="44">
        <f t="shared" si="103"/>
        <v>1</v>
      </c>
      <c r="H383" s="6">
        <v>42.537666666666667</v>
      </c>
      <c r="I383" s="6">
        <v>-81.457833333333326</v>
      </c>
      <c r="J383">
        <v>42.566916666666664</v>
      </c>
      <c r="K383">
        <v>-81.47208333333333</v>
      </c>
      <c r="L383">
        <v>41.819366666666667</v>
      </c>
      <c r="M383">
        <v>-81.155166666666673</v>
      </c>
      <c r="N383" s="22">
        <f t="shared" si="114"/>
        <v>3.2536517945225385E-2</v>
      </c>
      <c r="O383" s="22">
        <f t="shared" si="115"/>
        <v>0.77946263612254163</v>
      </c>
      <c r="P383" s="22">
        <f t="shared" si="102"/>
        <v>3.2536517945225385E-2</v>
      </c>
      <c r="Q383">
        <v>22.1</v>
      </c>
      <c r="R383">
        <v>16.5</v>
      </c>
      <c r="S383">
        <v>16</v>
      </c>
      <c r="T383">
        <v>9</v>
      </c>
      <c r="U383" s="1">
        <v>0</v>
      </c>
      <c r="V383">
        <v>2242</v>
      </c>
      <c r="W383">
        <v>20</v>
      </c>
      <c r="X383">
        <v>0.98</v>
      </c>
      <c r="Y383">
        <v>36</v>
      </c>
      <c r="Z383" s="28">
        <f t="shared" si="104"/>
        <v>0</v>
      </c>
      <c r="AA383" s="28">
        <f t="shared" si="105"/>
        <v>0.85</v>
      </c>
      <c r="AB383" s="28">
        <f t="shared" si="106"/>
        <v>0.25</v>
      </c>
      <c r="AC383" s="28">
        <f t="shared" si="107"/>
        <v>0</v>
      </c>
      <c r="AD383" s="28">
        <f t="shared" si="108"/>
        <v>0.5</v>
      </c>
      <c r="AE383" s="28">
        <f t="shared" si="116"/>
        <v>0</v>
      </c>
      <c r="AF383" s="28">
        <f t="shared" si="117"/>
        <v>0.47222222222222221</v>
      </c>
      <c r="AG383" s="28">
        <f t="shared" si="118"/>
        <v>0.1388888888888889</v>
      </c>
      <c r="AH383" s="28">
        <f t="shared" si="119"/>
        <v>0</v>
      </c>
      <c r="AI383" s="28">
        <f t="shared" si="120"/>
        <v>0.27777777777777779</v>
      </c>
      <c r="AJ383" s="28">
        <v>0</v>
      </c>
      <c r="AK383">
        <v>17</v>
      </c>
      <c r="AL383">
        <v>5</v>
      </c>
      <c r="AM383">
        <v>0</v>
      </c>
      <c r="AN383">
        <v>10</v>
      </c>
      <c r="AO383" s="22">
        <f t="shared" si="109"/>
        <v>0</v>
      </c>
      <c r="AP383" s="22">
        <f t="shared" si="110"/>
        <v>2.8903717578961645</v>
      </c>
      <c r="AQ383" s="22">
        <f t="shared" si="111"/>
        <v>1.791759469228055</v>
      </c>
      <c r="AR383" s="22">
        <f t="shared" si="112"/>
        <v>0</v>
      </c>
      <c r="AS383" s="22">
        <f t="shared" si="113"/>
        <v>2.3978952727983707</v>
      </c>
    </row>
    <row r="384" spans="1:45" x14ac:dyDescent="0.25">
      <c r="A384" s="1" t="s">
        <v>10</v>
      </c>
      <c r="B384" s="11">
        <v>43655</v>
      </c>
      <c r="C384">
        <v>190</v>
      </c>
      <c r="D384">
        <v>2019</v>
      </c>
      <c r="E384">
        <v>2003</v>
      </c>
      <c r="F384" s="1">
        <v>57850</v>
      </c>
      <c r="G384" s="44">
        <f t="shared" si="103"/>
        <v>1</v>
      </c>
      <c r="H384" s="6">
        <v>42.482333333333337</v>
      </c>
      <c r="I384" s="6">
        <v>-81.4345</v>
      </c>
      <c r="J384">
        <v>42.566916666666664</v>
      </c>
      <c r="K384">
        <v>-81.47208333333333</v>
      </c>
      <c r="L384">
        <v>41.819366666666667</v>
      </c>
      <c r="M384">
        <v>-81.155166666666673</v>
      </c>
      <c r="N384" s="22">
        <f t="shared" si="114"/>
        <v>9.2557264556711094E-2</v>
      </c>
      <c r="O384" s="22">
        <f t="shared" si="115"/>
        <v>0.71941080908075195</v>
      </c>
      <c r="P384" s="22">
        <f t="shared" si="102"/>
        <v>9.2557264556711094E-2</v>
      </c>
      <c r="Q384">
        <v>22.1</v>
      </c>
      <c r="R384">
        <v>21.4</v>
      </c>
      <c r="S384">
        <v>20.5</v>
      </c>
      <c r="T384">
        <v>7</v>
      </c>
      <c r="U384" s="1">
        <v>0</v>
      </c>
      <c r="V384">
        <v>2356</v>
      </c>
      <c r="W384">
        <v>20</v>
      </c>
      <c r="X384">
        <v>1.03</v>
      </c>
      <c r="Y384">
        <v>150</v>
      </c>
      <c r="Z384" s="28">
        <f t="shared" si="104"/>
        <v>0</v>
      </c>
      <c r="AA384" s="28">
        <f t="shared" si="105"/>
        <v>6.45</v>
      </c>
      <c r="AB384" s="28">
        <f t="shared" si="106"/>
        <v>0</v>
      </c>
      <c r="AC384" s="28">
        <f t="shared" si="107"/>
        <v>0</v>
      </c>
      <c r="AD384" s="28">
        <f t="shared" si="108"/>
        <v>1.05</v>
      </c>
      <c r="AE384" s="28">
        <f t="shared" si="116"/>
        <v>0</v>
      </c>
      <c r="AF384" s="28">
        <f t="shared" si="117"/>
        <v>0.86</v>
      </c>
      <c r="AG384" s="28">
        <f t="shared" si="118"/>
        <v>0</v>
      </c>
      <c r="AH384" s="28">
        <f t="shared" si="119"/>
        <v>0</v>
      </c>
      <c r="AI384" s="28">
        <f t="shared" si="120"/>
        <v>0.14000000000000001</v>
      </c>
      <c r="AJ384" s="28">
        <v>0</v>
      </c>
      <c r="AK384">
        <v>129</v>
      </c>
      <c r="AL384" s="28">
        <v>0</v>
      </c>
      <c r="AM384">
        <v>0</v>
      </c>
      <c r="AN384">
        <v>21</v>
      </c>
      <c r="AO384" s="22">
        <f t="shared" si="109"/>
        <v>0</v>
      </c>
      <c r="AP384" s="22">
        <f t="shared" si="110"/>
        <v>4.8675344504555822</v>
      </c>
      <c r="AQ384" s="22">
        <f t="shared" si="111"/>
        <v>0</v>
      </c>
      <c r="AR384" s="22">
        <f t="shared" si="112"/>
        <v>0</v>
      </c>
      <c r="AS384" s="22">
        <f t="shared" si="113"/>
        <v>3.0910424533583161</v>
      </c>
    </row>
    <row r="385" spans="1:45" x14ac:dyDescent="0.25">
      <c r="A385" s="1" t="s">
        <v>10</v>
      </c>
      <c r="B385" s="11">
        <v>43656</v>
      </c>
      <c r="C385">
        <v>191</v>
      </c>
      <c r="D385">
        <v>2019</v>
      </c>
      <c r="E385">
        <v>2004</v>
      </c>
      <c r="F385" s="1">
        <v>57850</v>
      </c>
      <c r="G385" s="44">
        <f t="shared" si="103"/>
        <v>1</v>
      </c>
      <c r="H385" s="6">
        <v>42.451333333333331</v>
      </c>
      <c r="I385" s="6">
        <v>-81.42616666666666</v>
      </c>
      <c r="J385">
        <v>42.566916666666664</v>
      </c>
      <c r="K385">
        <v>-81.47208333333333</v>
      </c>
      <c r="L385">
        <v>41.819366666666667</v>
      </c>
      <c r="M385">
        <v>-81.155166666666673</v>
      </c>
      <c r="N385" s="22">
        <f t="shared" si="114"/>
        <v>0.12436980028215279</v>
      </c>
      <c r="O385" s="22">
        <f t="shared" si="115"/>
        <v>0.68762116588843203</v>
      </c>
      <c r="P385" s="22">
        <f t="shared" si="102"/>
        <v>0.12436980028215279</v>
      </c>
      <c r="Q385">
        <v>21.9</v>
      </c>
      <c r="R385">
        <v>20.5</v>
      </c>
      <c r="S385">
        <v>21.7</v>
      </c>
      <c r="T385">
        <v>9</v>
      </c>
      <c r="U385" s="1">
        <v>0</v>
      </c>
      <c r="V385">
        <v>2434</v>
      </c>
      <c r="W385">
        <v>20</v>
      </c>
      <c r="X385">
        <v>0.92</v>
      </c>
      <c r="Y385">
        <v>452</v>
      </c>
      <c r="Z385" s="28">
        <f t="shared" si="104"/>
        <v>0</v>
      </c>
      <c r="AA385" s="28">
        <f t="shared" si="105"/>
        <v>21.35</v>
      </c>
      <c r="AB385" s="28">
        <f t="shared" si="106"/>
        <v>0.55000000000000004</v>
      </c>
      <c r="AC385" s="28">
        <f t="shared" si="107"/>
        <v>0</v>
      </c>
      <c r="AD385" s="28">
        <f t="shared" si="108"/>
        <v>0.65</v>
      </c>
      <c r="AE385" s="28">
        <f t="shared" si="116"/>
        <v>0</v>
      </c>
      <c r="AF385" s="28">
        <f t="shared" si="117"/>
        <v>0.94469026548672563</v>
      </c>
      <c r="AG385" s="28">
        <f t="shared" si="118"/>
        <v>2.4336283185840708E-2</v>
      </c>
      <c r="AH385" s="28">
        <f t="shared" si="119"/>
        <v>0</v>
      </c>
      <c r="AI385" s="28">
        <f t="shared" si="120"/>
        <v>2.8761061946902654E-2</v>
      </c>
      <c r="AJ385" s="28">
        <v>0</v>
      </c>
      <c r="AK385">
        <v>427</v>
      </c>
      <c r="AL385">
        <v>11</v>
      </c>
      <c r="AM385">
        <v>0</v>
      </c>
      <c r="AN385">
        <v>13</v>
      </c>
      <c r="AO385" s="22">
        <f t="shared" si="109"/>
        <v>0</v>
      </c>
      <c r="AP385" s="22">
        <f t="shared" si="110"/>
        <v>6.0591231955817966</v>
      </c>
      <c r="AQ385" s="22">
        <f t="shared" si="111"/>
        <v>2.4849066497880004</v>
      </c>
      <c r="AR385" s="22">
        <f t="shared" si="112"/>
        <v>0</v>
      </c>
      <c r="AS385" s="22">
        <f t="shared" si="113"/>
        <v>2.6390573296152584</v>
      </c>
    </row>
    <row r="386" spans="1:45" x14ac:dyDescent="0.25">
      <c r="A386" s="1" t="s">
        <v>10</v>
      </c>
      <c r="B386" s="11">
        <v>43656</v>
      </c>
      <c r="C386">
        <v>191</v>
      </c>
      <c r="D386">
        <v>2019</v>
      </c>
      <c r="E386">
        <v>2005</v>
      </c>
      <c r="F386" s="1">
        <v>57850</v>
      </c>
      <c r="G386" s="44">
        <f t="shared" si="103"/>
        <v>1</v>
      </c>
      <c r="H386" s="6">
        <v>42.427166666666665</v>
      </c>
      <c r="I386" s="6">
        <v>-81.414166666666674</v>
      </c>
      <c r="J386">
        <v>42.566916666666664</v>
      </c>
      <c r="K386">
        <v>-81.47208333333333</v>
      </c>
      <c r="L386">
        <v>41.819366666666667</v>
      </c>
      <c r="M386">
        <v>-81.155166666666673</v>
      </c>
      <c r="N386" s="22">
        <f t="shared" si="114"/>
        <v>0.15127591605333757</v>
      </c>
      <c r="O386" s="22">
        <f t="shared" si="115"/>
        <v>0.66068285886648903</v>
      </c>
      <c r="P386" s="22">
        <f t="shared" si="102"/>
        <v>0.15127591605333757</v>
      </c>
      <c r="Q386">
        <v>21.8</v>
      </c>
      <c r="R386">
        <v>15.2</v>
      </c>
      <c r="S386">
        <v>22.2</v>
      </c>
      <c r="T386">
        <v>12</v>
      </c>
      <c r="U386" s="1">
        <v>0</v>
      </c>
      <c r="V386">
        <v>2519</v>
      </c>
      <c r="W386">
        <v>20</v>
      </c>
      <c r="X386">
        <v>1</v>
      </c>
      <c r="Y386">
        <v>241</v>
      </c>
      <c r="Z386" s="28">
        <f t="shared" si="104"/>
        <v>0</v>
      </c>
      <c r="AA386" s="28">
        <f t="shared" si="105"/>
        <v>10.15</v>
      </c>
      <c r="AB386" s="28">
        <f t="shared" si="106"/>
        <v>1.45</v>
      </c>
      <c r="AC386" s="28">
        <f t="shared" si="107"/>
        <v>0</v>
      </c>
      <c r="AD386" s="28">
        <f t="shared" si="108"/>
        <v>0.4</v>
      </c>
      <c r="AE386" s="28">
        <f t="shared" si="116"/>
        <v>0</v>
      </c>
      <c r="AF386" s="28">
        <f t="shared" si="117"/>
        <v>0.84232365145228216</v>
      </c>
      <c r="AG386" s="28">
        <f t="shared" si="118"/>
        <v>0.12033195020746888</v>
      </c>
      <c r="AH386" s="28">
        <f t="shared" si="119"/>
        <v>0</v>
      </c>
      <c r="AI386" s="28">
        <f t="shared" si="120"/>
        <v>3.3195020746887967E-2</v>
      </c>
      <c r="AJ386" s="28">
        <v>0</v>
      </c>
      <c r="AK386">
        <v>203</v>
      </c>
      <c r="AL386">
        <v>29</v>
      </c>
      <c r="AM386">
        <v>0</v>
      </c>
      <c r="AN386">
        <v>8</v>
      </c>
      <c r="AO386" s="22">
        <f t="shared" si="109"/>
        <v>0</v>
      </c>
      <c r="AP386" s="22">
        <f t="shared" si="110"/>
        <v>5.3181199938442161</v>
      </c>
      <c r="AQ386" s="22">
        <f t="shared" si="111"/>
        <v>3.4011973816621555</v>
      </c>
      <c r="AR386" s="22">
        <f t="shared" si="112"/>
        <v>0</v>
      </c>
      <c r="AS386" s="22">
        <f t="shared" si="113"/>
        <v>2.1972245773362196</v>
      </c>
    </row>
    <row r="387" spans="1:45" x14ac:dyDescent="0.25">
      <c r="A387" s="1" t="s">
        <v>10</v>
      </c>
      <c r="B387" s="11">
        <v>43656</v>
      </c>
      <c r="C387">
        <v>191</v>
      </c>
      <c r="D387">
        <v>2019</v>
      </c>
      <c r="E387">
        <v>2006</v>
      </c>
      <c r="F387" s="1">
        <v>57850</v>
      </c>
      <c r="G387" s="44">
        <f t="shared" si="103"/>
        <v>1</v>
      </c>
      <c r="H387" s="6">
        <v>42.337499999999999</v>
      </c>
      <c r="I387" s="6">
        <v>-81.375166666666672</v>
      </c>
      <c r="J387">
        <v>42.566916666666664</v>
      </c>
      <c r="K387">
        <v>-81.47208333333333</v>
      </c>
      <c r="L387">
        <v>41.819366666666667</v>
      </c>
      <c r="M387">
        <v>-81.155166666666673</v>
      </c>
      <c r="N387" s="22">
        <f t="shared" si="114"/>
        <v>0.24904788138472495</v>
      </c>
      <c r="O387" s="22">
        <f t="shared" si="115"/>
        <v>0.56290509956040413</v>
      </c>
      <c r="P387" s="22">
        <f t="shared" si="102"/>
        <v>0.24904788138472495</v>
      </c>
      <c r="Q387">
        <v>21.7</v>
      </c>
      <c r="R387">
        <v>21.3</v>
      </c>
      <c r="S387">
        <v>23.2</v>
      </c>
      <c r="T387">
        <v>7</v>
      </c>
      <c r="U387" s="1">
        <v>0</v>
      </c>
      <c r="V387">
        <v>2627</v>
      </c>
      <c r="W387">
        <v>20</v>
      </c>
      <c r="X387">
        <v>1</v>
      </c>
      <c r="Y387">
        <v>170</v>
      </c>
      <c r="Z387" s="28">
        <f t="shared" si="104"/>
        <v>0</v>
      </c>
      <c r="AA387" s="28">
        <f t="shared" si="105"/>
        <v>6.25</v>
      </c>
      <c r="AB387" s="28">
        <f t="shared" si="106"/>
        <v>0</v>
      </c>
      <c r="AC387" s="28">
        <f t="shared" si="107"/>
        <v>0</v>
      </c>
      <c r="AD387" s="28">
        <f t="shared" si="108"/>
        <v>2.15</v>
      </c>
      <c r="AE387" s="28">
        <f t="shared" si="116"/>
        <v>0</v>
      </c>
      <c r="AF387" s="28">
        <f t="shared" si="117"/>
        <v>0.73529411764705888</v>
      </c>
      <c r="AG387" s="28">
        <f t="shared" si="118"/>
        <v>0</v>
      </c>
      <c r="AH387" s="28">
        <f t="shared" si="119"/>
        <v>0</v>
      </c>
      <c r="AI387" s="28">
        <f t="shared" si="120"/>
        <v>0.25294117647058822</v>
      </c>
      <c r="AJ387" s="28">
        <v>0</v>
      </c>
      <c r="AK387">
        <v>125</v>
      </c>
      <c r="AL387" s="28">
        <v>0</v>
      </c>
      <c r="AM387">
        <v>0</v>
      </c>
      <c r="AN387">
        <v>43</v>
      </c>
      <c r="AO387" s="22">
        <f t="shared" si="109"/>
        <v>0</v>
      </c>
      <c r="AP387" s="22">
        <f t="shared" si="110"/>
        <v>4.836281906951478</v>
      </c>
      <c r="AQ387" s="22">
        <f t="shared" si="111"/>
        <v>0</v>
      </c>
      <c r="AR387" s="22">
        <f t="shared" si="112"/>
        <v>0</v>
      </c>
      <c r="AS387" s="22">
        <f t="shared" si="113"/>
        <v>3.784189633918261</v>
      </c>
    </row>
    <row r="388" spans="1:45" x14ac:dyDescent="0.25">
      <c r="A388" s="1" t="s">
        <v>10</v>
      </c>
      <c r="B388" s="11">
        <v>43656</v>
      </c>
      <c r="C388">
        <v>191</v>
      </c>
      <c r="D388">
        <v>2019</v>
      </c>
      <c r="E388">
        <v>2007</v>
      </c>
      <c r="F388" s="1">
        <v>57850</v>
      </c>
      <c r="G388" s="44">
        <f t="shared" si="103"/>
        <v>1</v>
      </c>
      <c r="H388" s="6">
        <v>42.311833333333333</v>
      </c>
      <c r="I388" s="6">
        <v>-81.371499999999997</v>
      </c>
      <c r="J388">
        <v>42.566916666666664</v>
      </c>
      <c r="K388">
        <v>-81.47208333333333</v>
      </c>
      <c r="L388">
        <v>41.819366666666667</v>
      </c>
      <c r="M388">
        <v>-81.155166666666673</v>
      </c>
      <c r="N388" s="22">
        <f t="shared" si="114"/>
        <v>0.27419794654389351</v>
      </c>
      <c r="O388" s="22">
        <f t="shared" si="115"/>
        <v>0.53788802634831312</v>
      </c>
      <c r="P388" s="22">
        <f t="shared" si="102"/>
        <v>0.27419794654389351</v>
      </c>
      <c r="Q388">
        <v>21.6</v>
      </c>
      <c r="R388">
        <v>20.8</v>
      </c>
      <c r="S388">
        <v>23.4</v>
      </c>
      <c r="T388">
        <v>11</v>
      </c>
      <c r="U388" s="1">
        <v>0</v>
      </c>
      <c r="V388">
        <v>2707</v>
      </c>
      <c r="W388">
        <v>20</v>
      </c>
      <c r="X388">
        <v>1.01</v>
      </c>
      <c r="Y388">
        <v>248</v>
      </c>
      <c r="Z388" s="28">
        <f t="shared" si="104"/>
        <v>0</v>
      </c>
      <c r="AA388" s="28">
        <f t="shared" si="105"/>
        <v>11.15</v>
      </c>
      <c r="AB388" s="28">
        <f t="shared" si="106"/>
        <v>0</v>
      </c>
      <c r="AC388" s="28">
        <f t="shared" si="107"/>
        <v>0</v>
      </c>
      <c r="AD388" s="28">
        <f t="shared" si="108"/>
        <v>1.25</v>
      </c>
      <c r="AE388" s="28">
        <f t="shared" si="116"/>
        <v>0</v>
      </c>
      <c r="AF388" s="28">
        <f t="shared" si="117"/>
        <v>0.89919354838709675</v>
      </c>
      <c r="AG388" s="28">
        <f t="shared" si="118"/>
        <v>0</v>
      </c>
      <c r="AH388" s="28">
        <f t="shared" si="119"/>
        <v>0</v>
      </c>
      <c r="AI388" s="28">
        <f t="shared" si="120"/>
        <v>0.10080645161290322</v>
      </c>
      <c r="AJ388" s="28">
        <v>0</v>
      </c>
      <c r="AK388">
        <v>223</v>
      </c>
      <c r="AL388" s="28">
        <v>0</v>
      </c>
      <c r="AM388">
        <v>0</v>
      </c>
      <c r="AN388">
        <v>25</v>
      </c>
      <c r="AO388" s="22">
        <f t="shared" si="109"/>
        <v>0</v>
      </c>
      <c r="AP388" s="22">
        <f t="shared" si="110"/>
        <v>5.4116460518550396</v>
      </c>
      <c r="AQ388" s="22">
        <f t="shared" si="111"/>
        <v>0</v>
      </c>
      <c r="AR388" s="22">
        <f t="shared" si="112"/>
        <v>0</v>
      </c>
      <c r="AS388" s="22">
        <f t="shared" si="113"/>
        <v>3.2580965380214821</v>
      </c>
    </row>
    <row r="389" spans="1:45" x14ac:dyDescent="0.25">
      <c r="A389" s="1" t="s">
        <v>10</v>
      </c>
      <c r="B389" s="11">
        <v>43656</v>
      </c>
      <c r="C389">
        <v>191</v>
      </c>
      <c r="D389">
        <v>2019</v>
      </c>
      <c r="E389">
        <v>2008</v>
      </c>
      <c r="F389" s="1">
        <v>57850</v>
      </c>
      <c r="G389" s="44">
        <f t="shared" si="103"/>
        <v>1</v>
      </c>
      <c r="H389" s="6">
        <v>42.292666666666669</v>
      </c>
      <c r="I389" s="6">
        <v>-81.373833333333337</v>
      </c>
      <c r="J389">
        <v>42.566916666666664</v>
      </c>
      <c r="K389">
        <v>-81.47208333333333</v>
      </c>
      <c r="L389">
        <v>41.819366666666667</v>
      </c>
      <c r="M389">
        <v>-81.155166666666673</v>
      </c>
      <c r="N389" s="22">
        <f t="shared" si="114"/>
        <v>0.29131791053760481</v>
      </c>
      <c r="O389" s="22">
        <f t="shared" si="115"/>
        <v>0.52137126993258043</v>
      </c>
      <c r="P389" s="22">
        <f t="shared" si="102"/>
        <v>0.29131791053760481</v>
      </c>
      <c r="Q389">
        <v>21.7</v>
      </c>
      <c r="R389">
        <v>17.399999999999999</v>
      </c>
      <c r="S389">
        <v>23.6</v>
      </c>
      <c r="T389">
        <v>13</v>
      </c>
      <c r="U389" s="1">
        <v>0</v>
      </c>
      <c r="V389">
        <v>2816</v>
      </c>
      <c r="W389">
        <v>20</v>
      </c>
      <c r="X389">
        <v>0.96</v>
      </c>
      <c r="Y389">
        <v>85</v>
      </c>
      <c r="Z389" s="28">
        <f t="shared" si="104"/>
        <v>0</v>
      </c>
      <c r="AA389" s="28">
        <f t="shared" si="105"/>
        <v>4.2</v>
      </c>
      <c r="AB389" s="28">
        <f t="shared" si="106"/>
        <v>0</v>
      </c>
      <c r="AC389" s="28">
        <f t="shared" si="107"/>
        <v>0</v>
      </c>
      <c r="AD389" s="28">
        <f t="shared" si="108"/>
        <v>0.05</v>
      </c>
      <c r="AE389" s="28">
        <f t="shared" si="116"/>
        <v>0</v>
      </c>
      <c r="AF389" s="28">
        <f t="shared" si="117"/>
        <v>0.9882352941176471</v>
      </c>
      <c r="AG389" s="28">
        <f t="shared" si="118"/>
        <v>0</v>
      </c>
      <c r="AH389" s="28">
        <f t="shared" si="119"/>
        <v>0</v>
      </c>
      <c r="AI389" s="28">
        <f t="shared" si="120"/>
        <v>1.1764705882352941E-2</v>
      </c>
      <c r="AJ389" s="28">
        <v>0</v>
      </c>
      <c r="AK389">
        <v>84</v>
      </c>
      <c r="AL389" s="28">
        <v>0</v>
      </c>
      <c r="AM389">
        <v>0</v>
      </c>
      <c r="AN389">
        <v>1</v>
      </c>
      <c r="AO389" s="22">
        <f t="shared" si="109"/>
        <v>0</v>
      </c>
      <c r="AP389" s="22">
        <f t="shared" si="110"/>
        <v>4.4426512564903167</v>
      </c>
      <c r="AQ389" s="22">
        <f t="shared" si="111"/>
        <v>0</v>
      </c>
      <c r="AR389" s="22">
        <f t="shared" si="112"/>
        <v>0</v>
      </c>
      <c r="AS389" s="22">
        <f t="shared" si="113"/>
        <v>0.69314718055994529</v>
      </c>
    </row>
    <row r="390" spans="1:45" x14ac:dyDescent="0.25">
      <c r="A390" s="1" t="s">
        <v>10</v>
      </c>
      <c r="B390" s="11">
        <v>43656</v>
      </c>
      <c r="C390">
        <v>191</v>
      </c>
      <c r="D390">
        <v>2019</v>
      </c>
      <c r="E390">
        <v>2009</v>
      </c>
      <c r="F390" s="1">
        <v>57850</v>
      </c>
      <c r="G390" s="44">
        <f t="shared" si="103"/>
        <v>1</v>
      </c>
      <c r="H390" s="6">
        <v>42.316499999999998</v>
      </c>
      <c r="I390" s="6">
        <v>-81.380166666666668</v>
      </c>
      <c r="J390">
        <v>42.566916666666664</v>
      </c>
      <c r="K390">
        <v>-81.47208333333333</v>
      </c>
      <c r="L390">
        <v>41.819366666666667</v>
      </c>
      <c r="M390">
        <v>-81.155166666666673</v>
      </c>
      <c r="N390" s="22">
        <f t="shared" si="114"/>
        <v>0.26675303288914004</v>
      </c>
      <c r="O390" s="22">
        <f t="shared" si="115"/>
        <v>0.54567989802731942</v>
      </c>
      <c r="P390" s="22">
        <f t="shared" si="102"/>
        <v>0.26675303288914004</v>
      </c>
      <c r="Q390">
        <v>21.6</v>
      </c>
      <c r="R390">
        <v>13.7</v>
      </c>
      <c r="S390">
        <v>23.5</v>
      </c>
      <c r="T390">
        <v>19</v>
      </c>
      <c r="U390" s="47">
        <v>1</v>
      </c>
      <c r="V390">
        <v>2855</v>
      </c>
      <c r="W390">
        <v>20</v>
      </c>
      <c r="X390">
        <v>1.07</v>
      </c>
      <c r="Y390">
        <v>65</v>
      </c>
      <c r="Z390" s="28">
        <f t="shared" si="104"/>
        <v>0</v>
      </c>
      <c r="AA390" s="28">
        <f t="shared" si="105"/>
        <v>2.5499999999999998</v>
      </c>
      <c r="AB390" s="28">
        <f t="shared" si="106"/>
        <v>0.5</v>
      </c>
      <c r="AC390" s="28">
        <f t="shared" si="107"/>
        <v>0</v>
      </c>
      <c r="AD390" s="28">
        <f t="shared" si="108"/>
        <v>0.2</v>
      </c>
      <c r="AE390" s="28">
        <f t="shared" si="116"/>
        <v>0</v>
      </c>
      <c r="AF390" s="28">
        <f t="shared" si="117"/>
        <v>0.7846153846153846</v>
      </c>
      <c r="AG390" s="28">
        <f t="shared" si="118"/>
        <v>0.15384615384615385</v>
      </c>
      <c r="AH390" s="28">
        <f t="shared" si="119"/>
        <v>0</v>
      </c>
      <c r="AI390" s="28">
        <f t="shared" si="120"/>
        <v>6.1538461538461542E-2</v>
      </c>
      <c r="AJ390" s="28">
        <v>0</v>
      </c>
      <c r="AK390">
        <v>51</v>
      </c>
      <c r="AL390">
        <v>10</v>
      </c>
      <c r="AM390">
        <v>0</v>
      </c>
      <c r="AN390">
        <v>4</v>
      </c>
      <c r="AO390" s="22">
        <f t="shared" si="109"/>
        <v>0</v>
      </c>
      <c r="AP390" s="22">
        <f t="shared" si="110"/>
        <v>3.9512437185814275</v>
      </c>
      <c r="AQ390" s="22">
        <f t="shared" si="111"/>
        <v>2.3978952727983707</v>
      </c>
      <c r="AR390" s="22">
        <f t="shared" si="112"/>
        <v>0</v>
      </c>
      <c r="AS390" s="22">
        <f t="shared" si="113"/>
        <v>1.6094379124341003</v>
      </c>
    </row>
    <row r="391" spans="1:45" x14ac:dyDescent="0.25">
      <c r="A391" s="1" t="s">
        <v>10</v>
      </c>
      <c r="B391" s="11">
        <v>43656</v>
      </c>
      <c r="C391">
        <v>191</v>
      </c>
      <c r="D391">
        <v>2019</v>
      </c>
      <c r="E391">
        <v>3001</v>
      </c>
      <c r="F391" s="1">
        <v>57600</v>
      </c>
      <c r="G391" s="44">
        <f t="shared" si="103"/>
        <v>0</v>
      </c>
      <c r="H391" s="6">
        <v>42.066000000000003</v>
      </c>
      <c r="I391" s="6">
        <v>-81.748666666666665</v>
      </c>
      <c r="J391">
        <v>42.261233333333337</v>
      </c>
      <c r="K391">
        <v>-81.829883333333328</v>
      </c>
      <c r="L391">
        <v>41.621000000000002</v>
      </c>
      <c r="M391">
        <v>-81.539483333333337</v>
      </c>
      <c r="N391" s="22">
        <f t="shared" si="114"/>
        <v>0.21145259844439984</v>
      </c>
      <c r="O391" s="22">
        <f t="shared" si="115"/>
        <v>0.49171400930260534</v>
      </c>
      <c r="P391" s="22">
        <f t="shared" si="102"/>
        <v>0.21145259844439984</v>
      </c>
      <c r="Q391">
        <v>23.7</v>
      </c>
      <c r="R391">
        <v>22.3</v>
      </c>
      <c r="S391">
        <v>25.1</v>
      </c>
      <c r="T391">
        <v>5</v>
      </c>
      <c r="U391" s="1">
        <v>0</v>
      </c>
      <c r="V391">
        <v>2137</v>
      </c>
      <c r="W391">
        <v>20</v>
      </c>
      <c r="X391">
        <v>1</v>
      </c>
      <c r="Y391">
        <v>73</v>
      </c>
      <c r="Z391" s="28">
        <f t="shared" si="104"/>
        <v>0</v>
      </c>
      <c r="AA391" s="28">
        <f t="shared" si="105"/>
        <v>3.15</v>
      </c>
      <c r="AB391" s="28">
        <f t="shared" si="106"/>
        <v>0</v>
      </c>
      <c r="AC391" s="28">
        <f t="shared" si="107"/>
        <v>0</v>
      </c>
      <c r="AD391" s="28">
        <f t="shared" si="108"/>
        <v>0.4</v>
      </c>
      <c r="AE391" s="28">
        <f t="shared" si="116"/>
        <v>0</v>
      </c>
      <c r="AF391" s="28">
        <f t="shared" si="117"/>
        <v>0.86301369863013699</v>
      </c>
      <c r="AG391" s="28">
        <f t="shared" si="118"/>
        <v>0</v>
      </c>
      <c r="AH391" s="28">
        <f t="shared" si="119"/>
        <v>0</v>
      </c>
      <c r="AI391" s="28">
        <f t="shared" si="120"/>
        <v>0.1095890410958904</v>
      </c>
      <c r="AJ391" s="28">
        <v>0</v>
      </c>
      <c r="AK391">
        <v>63</v>
      </c>
      <c r="AL391" s="28">
        <v>0</v>
      </c>
      <c r="AM391">
        <v>0</v>
      </c>
      <c r="AN391">
        <v>8</v>
      </c>
      <c r="AO391" s="22">
        <f t="shared" si="109"/>
        <v>0</v>
      </c>
      <c r="AP391" s="22">
        <f t="shared" si="110"/>
        <v>4.1588830833596715</v>
      </c>
      <c r="AQ391" s="22">
        <f t="shared" si="111"/>
        <v>0</v>
      </c>
      <c r="AR391" s="22">
        <f t="shared" si="112"/>
        <v>0</v>
      </c>
      <c r="AS391" s="22">
        <f t="shared" si="113"/>
        <v>2.1972245773362196</v>
      </c>
    </row>
    <row r="392" spans="1:45" x14ac:dyDescent="0.25">
      <c r="A392" s="1" t="s">
        <v>10</v>
      </c>
      <c r="B392" s="11">
        <v>43656</v>
      </c>
      <c r="C392">
        <v>191</v>
      </c>
      <c r="D392">
        <v>2019</v>
      </c>
      <c r="E392">
        <v>3002</v>
      </c>
      <c r="F392" s="1">
        <v>57600</v>
      </c>
      <c r="G392" s="44">
        <f t="shared" si="103"/>
        <v>0</v>
      </c>
      <c r="H392" s="6">
        <v>42.087166666666668</v>
      </c>
      <c r="I392" s="6">
        <v>-81.753500000000003</v>
      </c>
      <c r="J392">
        <v>42.261233333333337</v>
      </c>
      <c r="K392">
        <v>-81.829883333333328</v>
      </c>
      <c r="L392">
        <v>41.621000000000002</v>
      </c>
      <c r="M392">
        <v>-81.539483333333337</v>
      </c>
      <c r="N392" s="22">
        <f t="shared" si="114"/>
        <v>0.19008844798028868</v>
      </c>
      <c r="O392" s="22">
        <f t="shared" si="115"/>
        <v>0.51294687319665122</v>
      </c>
      <c r="P392" s="22">
        <f t="shared" si="102"/>
        <v>0.19008844798028868</v>
      </c>
      <c r="Q392">
        <v>23.4</v>
      </c>
      <c r="R392">
        <v>21.8</v>
      </c>
      <c r="S392">
        <v>24.9</v>
      </c>
      <c r="T392">
        <v>10</v>
      </c>
      <c r="U392" s="1">
        <v>0</v>
      </c>
      <c r="V392">
        <v>2235</v>
      </c>
      <c r="W392">
        <v>20</v>
      </c>
      <c r="X392">
        <v>1.05</v>
      </c>
      <c r="Y392">
        <v>188</v>
      </c>
      <c r="Z392" s="28">
        <f t="shared" si="104"/>
        <v>0</v>
      </c>
      <c r="AA392" s="28">
        <f t="shared" si="105"/>
        <v>9.25</v>
      </c>
      <c r="AB392" s="28">
        <f t="shared" si="106"/>
        <v>0</v>
      </c>
      <c r="AC392" s="28">
        <f t="shared" si="107"/>
        <v>0</v>
      </c>
      <c r="AD392" s="28">
        <f t="shared" si="108"/>
        <v>0.15</v>
      </c>
      <c r="AE392" s="28">
        <f t="shared" si="116"/>
        <v>0</v>
      </c>
      <c r="AF392" s="28">
        <f t="shared" si="117"/>
        <v>0.98404255319148937</v>
      </c>
      <c r="AG392" s="28">
        <f t="shared" si="118"/>
        <v>0</v>
      </c>
      <c r="AH392" s="28">
        <f t="shared" si="119"/>
        <v>0</v>
      </c>
      <c r="AI392" s="28">
        <f t="shared" si="120"/>
        <v>1.5957446808510637E-2</v>
      </c>
      <c r="AJ392" s="28">
        <v>0</v>
      </c>
      <c r="AK392">
        <v>185</v>
      </c>
      <c r="AL392" s="28">
        <v>0</v>
      </c>
      <c r="AM392">
        <v>0</v>
      </c>
      <c r="AN392">
        <v>3</v>
      </c>
      <c r="AO392" s="22">
        <f t="shared" si="109"/>
        <v>0</v>
      </c>
      <c r="AP392" s="22">
        <f t="shared" si="110"/>
        <v>5.2257466737132017</v>
      </c>
      <c r="AQ392" s="22">
        <f t="shared" si="111"/>
        <v>0</v>
      </c>
      <c r="AR392" s="22">
        <f t="shared" si="112"/>
        <v>0</v>
      </c>
      <c r="AS392" s="22">
        <f t="shared" si="113"/>
        <v>1.3862943611198906</v>
      </c>
    </row>
    <row r="393" spans="1:45" x14ac:dyDescent="0.25">
      <c r="A393" s="1" t="s">
        <v>10</v>
      </c>
      <c r="B393" s="11">
        <v>43656</v>
      </c>
      <c r="C393">
        <v>191</v>
      </c>
      <c r="D393">
        <v>2019</v>
      </c>
      <c r="E393">
        <v>3003</v>
      </c>
      <c r="F393" s="1">
        <v>57600</v>
      </c>
      <c r="G393" s="44">
        <f t="shared" si="103"/>
        <v>0</v>
      </c>
      <c r="H393" s="6">
        <v>42.138500000000001</v>
      </c>
      <c r="I393" s="6">
        <v>-81.734499999999997</v>
      </c>
      <c r="J393">
        <v>42.261233333333337</v>
      </c>
      <c r="K393">
        <v>-81.829883333333328</v>
      </c>
      <c r="L393">
        <v>41.621000000000002</v>
      </c>
      <c r="M393">
        <v>-81.539483333333337</v>
      </c>
      <c r="N393" s="22">
        <f t="shared" si="114"/>
        <v>0.15543954255236697</v>
      </c>
      <c r="O393" s="22">
        <f t="shared" si="115"/>
        <v>0.55302599421525711</v>
      </c>
      <c r="P393" s="22">
        <f t="shared" si="102"/>
        <v>0.15543954255236697</v>
      </c>
      <c r="Q393">
        <v>23.5</v>
      </c>
      <c r="R393">
        <v>16.600000000000001</v>
      </c>
      <c r="S393">
        <v>25.1</v>
      </c>
      <c r="T393">
        <v>13</v>
      </c>
      <c r="U393" s="1">
        <v>0</v>
      </c>
      <c r="V393">
        <v>2341</v>
      </c>
      <c r="W393">
        <v>20</v>
      </c>
      <c r="X393">
        <v>1.03</v>
      </c>
      <c r="Y393">
        <v>201</v>
      </c>
      <c r="Z393" s="28">
        <f t="shared" si="104"/>
        <v>0.05</v>
      </c>
      <c r="AA393" s="28">
        <f t="shared" si="105"/>
        <v>9.6999999999999993</v>
      </c>
      <c r="AB393" s="28">
        <f t="shared" si="106"/>
        <v>0.1</v>
      </c>
      <c r="AC393" s="28">
        <f t="shared" si="107"/>
        <v>0</v>
      </c>
      <c r="AD393" s="28">
        <f t="shared" si="108"/>
        <v>0.15</v>
      </c>
      <c r="AE393" s="28">
        <f t="shared" si="116"/>
        <v>4.9751243781094526E-3</v>
      </c>
      <c r="AF393" s="28">
        <f t="shared" si="117"/>
        <v>0.96517412935323388</v>
      </c>
      <c r="AG393" s="28">
        <f t="shared" si="118"/>
        <v>9.9502487562189053E-3</v>
      </c>
      <c r="AH393" s="28">
        <f t="shared" si="119"/>
        <v>0</v>
      </c>
      <c r="AI393" s="28">
        <f t="shared" si="120"/>
        <v>1.4925373134328358E-2</v>
      </c>
      <c r="AJ393">
        <v>1</v>
      </c>
      <c r="AK393">
        <v>194</v>
      </c>
      <c r="AL393">
        <v>2</v>
      </c>
      <c r="AM393">
        <v>0</v>
      </c>
      <c r="AN393">
        <v>3</v>
      </c>
      <c r="AO393" s="22">
        <f t="shared" si="109"/>
        <v>0.69314718055994529</v>
      </c>
      <c r="AP393" s="22">
        <f t="shared" si="110"/>
        <v>5.2729995585637468</v>
      </c>
      <c r="AQ393" s="22">
        <f t="shared" si="111"/>
        <v>1.0986122886681098</v>
      </c>
      <c r="AR393" s="22">
        <f t="shared" si="112"/>
        <v>0</v>
      </c>
      <c r="AS393" s="22">
        <f t="shared" si="113"/>
        <v>1.3862943611198906</v>
      </c>
    </row>
    <row r="394" spans="1:45" x14ac:dyDescent="0.25">
      <c r="A394" s="1" t="s">
        <v>10</v>
      </c>
      <c r="B394" s="11">
        <v>43657</v>
      </c>
      <c r="C394">
        <v>192</v>
      </c>
      <c r="D394">
        <v>2019</v>
      </c>
      <c r="E394">
        <v>3004</v>
      </c>
      <c r="F394" s="1">
        <v>57600</v>
      </c>
      <c r="G394" s="44">
        <f t="shared" si="103"/>
        <v>0</v>
      </c>
      <c r="H394" s="6">
        <v>42.085333333333331</v>
      </c>
      <c r="I394" s="6">
        <v>-81.747</v>
      </c>
      <c r="J394">
        <v>42.261233333333337</v>
      </c>
      <c r="K394">
        <v>-81.829883333333328</v>
      </c>
      <c r="L394">
        <v>41.621000000000002</v>
      </c>
      <c r="M394">
        <v>-81.539483333333337</v>
      </c>
      <c r="N394" s="22">
        <f t="shared" si="114"/>
        <v>0.19444911145193117</v>
      </c>
      <c r="O394" s="22">
        <f t="shared" si="115"/>
        <v>0.50859474180223618</v>
      </c>
      <c r="P394" s="22">
        <f t="shared" si="102"/>
        <v>0.19444911145193117</v>
      </c>
      <c r="Q394">
        <v>23.1</v>
      </c>
      <c r="R394">
        <v>11.8</v>
      </c>
      <c r="S394">
        <v>24.9</v>
      </c>
      <c r="T394">
        <v>19</v>
      </c>
      <c r="U394" s="47">
        <v>1</v>
      </c>
      <c r="V394">
        <v>2431</v>
      </c>
      <c r="W394">
        <v>20</v>
      </c>
      <c r="X394">
        <v>1.05</v>
      </c>
      <c r="Y394">
        <v>233</v>
      </c>
      <c r="Z394" s="28">
        <f t="shared" si="104"/>
        <v>0</v>
      </c>
      <c r="AA394" s="28">
        <f t="shared" si="105"/>
        <v>11.3</v>
      </c>
      <c r="AB394" s="28">
        <f t="shared" si="106"/>
        <v>0.15</v>
      </c>
      <c r="AC394" s="28">
        <f t="shared" si="107"/>
        <v>0</v>
      </c>
      <c r="AD394" s="28">
        <f t="shared" si="108"/>
        <v>0.2</v>
      </c>
      <c r="AE394" s="28">
        <f t="shared" si="116"/>
        <v>0</v>
      </c>
      <c r="AF394" s="28">
        <f t="shared" si="117"/>
        <v>0.96995708154506433</v>
      </c>
      <c r="AG394" s="28">
        <f t="shared" si="118"/>
        <v>1.2875536480686695E-2</v>
      </c>
      <c r="AH394" s="28">
        <f t="shared" si="119"/>
        <v>0</v>
      </c>
      <c r="AI394" s="28">
        <f t="shared" si="120"/>
        <v>1.7167381974248927E-2</v>
      </c>
      <c r="AJ394" s="28">
        <v>0</v>
      </c>
      <c r="AK394">
        <v>226</v>
      </c>
      <c r="AL394">
        <v>3</v>
      </c>
      <c r="AM394">
        <v>0</v>
      </c>
      <c r="AN394">
        <v>4</v>
      </c>
      <c r="AO394" s="22">
        <f t="shared" si="109"/>
        <v>0</v>
      </c>
      <c r="AP394" s="22">
        <f t="shared" si="110"/>
        <v>5.4249500174814029</v>
      </c>
      <c r="AQ394" s="22">
        <f t="shared" si="111"/>
        <v>1.3862943611198906</v>
      </c>
      <c r="AR394" s="22">
        <f t="shared" si="112"/>
        <v>0</v>
      </c>
      <c r="AS394" s="22">
        <f t="shared" si="113"/>
        <v>1.6094379124341003</v>
      </c>
    </row>
    <row r="395" spans="1:45" x14ac:dyDescent="0.25">
      <c r="A395" s="1" t="s">
        <v>10</v>
      </c>
      <c r="B395" s="11">
        <v>43657</v>
      </c>
      <c r="C395">
        <v>192</v>
      </c>
      <c r="D395">
        <v>2019</v>
      </c>
      <c r="E395">
        <v>3005</v>
      </c>
      <c r="F395" s="1">
        <v>57600</v>
      </c>
      <c r="G395" s="44">
        <f t="shared" si="103"/>
        <v>0</v>
      </c>
      <c r="H395" s="6">
        <v>42.210166666666666</v>
      </c>
      <c r="I395" s="6">
        <v>-81.8065</v>
      </c>
      <c r="J395">
        <v>42.261233333333337</v>
      </c>
      <c r="K395">
        <v>-81.829883333333328</v>
      </c>
      <c r="L395">
        <v>41.621000000000002</v>
      </c>
      <c r="M395">
        <v>-81.539483333333337</v>
      </c>
      <c r="N395" s="22">
        <f t="shared" si="114"/>
        <v>5.6165689902487576E-2</v>
      </c>
      <c r="O395" s="22">
        <f t="shared" si="115"/>
        <v>0.64685026195316908</v>
      </c>
      <c r="P395" s="22">
        <f t="shared" si="102"/>
        <v>5.6165689902487576E-2</v>
      </c>
      <c r="Q395">
        <v>23.1</v>
      </c>
      <c r="R395">
        <v>22.5</v>
      </c>
      <c r="S395">
        <v>21.4</v>
      </c>
      <c r="T395">
        <v>7</v>
      </c>
      <c r="U395" s="1">
        <v>0</v>
      </c>
      <c r="V395">
        <v>2551</v>
      </c>
      <c r="W395">
        <v>20</v>
      </c>
      <c r="X395">
        <v>1</v>
      </c>
      <c r="Y395">
        <v>113</v>
      </c>
      <c r="Z395" s="28">
        <f t="shared" si="104"/>
        <v>0</v>
      </c>
      <c r="AA395" s="28">
        <f t="shared" si="105"/>
        <v>2.7</v>
      </c>
      <c r="AB395" s="28">
        <f t="shared" si="106"/>
        <v>0</v>
      </c>
      <c r="AC395" s="28">
        <f t="shared" si="107"/>
        <v>0</v>
      </c>
      <c r="AD395" s="28">
        <f t="shared" si="108"/>
        <v>2.8</v>
      </c>
      <c r="AE395" s="28">
        <f t="shared" si="116"/>
        <v>0</v>
      </c>
      <c r="AF395" s="28">
        <f t="shared" si="117"/>
        <v>0.47787610619469029</v>
      </c>
      <c r="AG395" s="28">
        <f t="shared" si="118"/>
        <v>0</v>
      </c>
      <c r="AH395" s="28">
        <f t="shared" si="119"/>
        <v>0</v>
      </c>
      <c r="AI395" s="28">
        <f t="shared" si="120"/>
        <v>0.49557522123893805</v>
      </c>
      <c r="AJ395" s="28">
        <v>0</v>
      </c>
      <c r="AK395">
        <v>54</v>
      </c>
      <c r="AL395" s="28">
        <v>0</v>
      </c>
      <c r="AM395">
        <v>0</v>
      </c>
      <c r="AN395">
        <v>56</v>
      </c>
      <c r="AO395" s="22">
        <f t="shared" si="109"/>
        <v>0</v>
      </c>
      <c r="AP395" s="22">
        <f t="shared" si="110"/>
        <v>4.0073331852324712</v>
      </c>
      <c r="AQ395" s="22">
        <f t="shared" si="111"/>
        <v>0</v>
      </c>
      <c r="AR395" s="22">
        <f t="shared" si="112"/>
        <v>0</v>
      </c>
      <c r="AS395" s="22">
        <f t="shared" si="113"/>
        <v>4.0430512678345503</v>
      </c>
    </row>
    <row r="396" spans="1:45" x14ac:dyDescent="0.25">
      <c r="A396" s="1" t="s">
        <v>10</v>
      </c>
      <c r="B396" s="11">
        <v>43657</v>
      </c>
      <c r="C396">
        <v>192</v>
      </c>
      <c r="D396">
        <v>2019</v>
      </c>
      <c r="E396">
        <v>3006</v>
      </c>
      <c r="F396" s="1">
        <v>57600</v>
      </c>
      <c r="G396" s="44">
        <f t="shared" si="103"/>
        <v>0</v>
      </c>
      <c r="H396" s="13">
        <v>42.225166666666667</v>
      </c>
      <c r="I396" s="6">
        <v>-81.81283333333333</v>
      </c>
      <c r="J396">
        <v>42.261233333333337</v>
      </c>
      <c r="K396">
        <v>-81.829883333333328</v>
      </c>
      <c r="L396">
        <v>41.621000000000002</v>
      </c>
      <c r="M396">
        <v>-81.539483333333337</v>
      </c>
      <c r="N396" s="22">
        <f t="shared" si="114"/>
        <v>3.9893695547600243E-2</v>
      </c>
      <c r="O396" s="22">
        <f t="shared" si="115"/>
        <v>0.66312712477405467</v>
      </c>
      <c r="P396" s="22">
        <f t="shared" si="102"/>
        <v>3.9893695547600243E-2</v>
      </c>
      <c r="Q396">
        <v>23</v>
      </c>
      <c r="R396">
        <v>16.7</v>
      </c>
      <c r="S396">
        <v>20.9</v>
      </c>
      <c r="T396" s="12">
        <v>13</v>
      </c>
      <c r="U396" s="21">
        <v>0</v>
      </c>
      <c r="V396">
        <v>2625</v>
      </c>
      <c r="W396">
        <v>20</v>
      </c>
      <c r="Y396">
        <v>67</v>
      </c>
      <c r="Z396" s="28">
        <f t="shared" si="104"/>
        <v>0</v>
      </c>
      <c r="AA396" s="28">
        <f t="shared" si="105"/>
        <v>0.95</v>
      </c>
      <c r="AB396" s="28">
        <f t="shared" si="106"/>
        <v>0</v>
      </c>
      <c r="AC396" s="28">
        <f t="shared" si="107"/>
        <v>0</v>
      </c>
      <c r="AD396" s="28">
        <f t="shared" si="108"/>
        <v>2.2999999999999998</v>
      </c>
      <c r="AE396" s="28">
        <f t="shared" si="116"/>
        <v>0</v>
      </c>
      <c r="AF396" s="28">
        <f t="shared" si="117"/>
        <v>0.28358208955223879</v>
      </c>
      <c r="AG396" s="28">
        <f t="shared" si="118"/>
        <v>0</v>
      </c>
      <c r="AH396" s="28">
        <f t="shared" si="119"/>
        <v>0</v>
      </c>
      <c r="AI396" s="28">
        <f t="shared" si="120"/>
        <v>0.68656716417910446</v>
      </c>
      <c r="AJ396" s="28">
        <v>0</v>
      </c>
      <c r="AK396">
        <v>19</v>
      </c>
      <c r="AL396" s="28">
        <v>0</v>
      </c>
      <c r="AM396">
        <v>0</v>
      </c>
      <c r="AN396">
        <v>46</v>
      </c>
      <c r="AO396" s="22">
        <f t="shared" si="109"/>
        <v>0</v>
      </c>
      <c r="AP396" s="22">
        <f t="shared" si="110"/>
        <v>2.9957322735539909</v>
      </c>
      <c r="AQ396" s="22">
        <f t="shared" si="111"/>
        <v>0</v>
      </c>
      <c r="AR396" s="22">
        <f t="shared" si="112"/>
        <v>0</v>
      </c>
      <c r="AS396" s="22">
        <f t="shared" si="113"/>
        <v>3.8501476017100584</v>
      </c>
    </row>
    <row r="397" spans="1:45" x14ac:dyDescent="0.25">
      <c r="A397" s="1" t="s">
        <v>10</v>
      </c>
      <c r="B397" s="11">
        <v>43657</v>
      </c>
      <c r="C397">
        <v>192</v>
      </c>
      <c r="D397">
        <v>2019</v>
      </c>
      <c r="E397">
        <v>3007</v>
      </c>
      <c r="F397" s="1">
        <v>57600</v>
      </c>
      <c r="G397" s="44">
        <f t="shared" si="103"/>
        <v>0</v>
      </c>
      <c r="H397" s="6">
        <v>42.210500000000003</v>
      </c>
      <c r="I397" s="6">
        <v>-81.813333333333333</v>
      </c>
      <c r="J397">
        <v>42.261233333333337</v>
      </c>
      <c r="K397">
        <v>-81.829883333333328</v>
      </c>
      <c r="L397">
        <v>41.621000000000002</v>
      </c>
      <c r="M397">
        <v>-81.539483333333337</v>
      </c>
      <c r="N397" s="22">
        <f t="shared" si="114"/>
        <v>5.336453514377288E-2</v>
      </c>
      <c r="O397" s="22">
        <f t="shared" si="115"/>
        <v>0.65000313268475785</v>
      </c>
      <c r="P397" s="22">
        <f t="shared" si="102"/>
        <v>5.336453514377288E-2</v>
      </c>
      <c r="Q397">
        <v>23.1</v>
      </c>
      <c r="S397">
        <v>20.9</v>
      </c>
      <c r="T397">
        <v>19</v>
      </c>
      <c r="U397" s="47">
        <v>1</v>
      </c>
      <c r="V397">
        <v>2702</v>
      </c>
      <c r="W397">
        <v>20</v>
      </c>
      <c r="X397">
        <v>1</v>
      </c>
      <c r="Y397">
        <v>217</v>
      </c>
      <c r="Z397" s="28">
        <f t="shared" si="104"/>
        <v>0</v>
      </c>
      <c r="AA397" s="28">
        <f t="shared" si="105"/>
        <v>0.1</v>
      </c>
      <c r="AB397" s="28">
        <f t="shared" si="106"/>
        <v>10.1</v>
      </c>
      <c r="AC397" s="28">
        <f t="shared" si="107"/>
        <v>0</v>
      </c>
      <c r="AD397" s="28">
        <f t="shared" si="108"/>
        <v>0.4</v>
      </c>
      <c r="AE397" s="28">
        <f t="shared" si="116"/>
        <v>0</v>
      </c>
      <c r="AF397" s="28">
        <f t="shared" si="117"/>
        <v>9.2165898617511521E-3</v>
      </c>
      <c r="AG397" s="28">
        <f t="shared" si="118"/>
        <v>0.93087557603686633</v>
      </c>
      <c r="AH397" s="28">
        <f t="shared" si="119"/>
        <v>0</v>
      </c>
      <c r="AI397" s="28">
        <f t="shared" si="120"/>
        <v>3.6866359447004608E-2</v>
      </c>
      <c r="AJ397" s="28">
        <v>0</v>
      </c>
      <c r="AK397">
        <v>2</v>
      </c>
      <c r="AL397">
        <v>202</v>
      </c>
      <c r="AM397">
        <v>0</v>
      </c>
      <c r="AN397">
        <v>8</v>
      </c>
      <c r="AO397" s="22">
        <f t="shared" si="109"/>
        <v>0</v>
      </c>
      <c r="AP397" s="22">
        <f t="shared" si="110"/>
        <v>1.0986122886681098</v>
      </c>
      <c r="AQ397" s="22">
        <f t="shared" si="111"/>
        <v>5.3132059790417872</v>
      </c>
      <c r="AR397" s="22">
        <f t="shared" si="112"/>
        <v>0</v>
      </c>
      <c r="AS397" s="22">
        <f t="shared" si="113"/>
        <v>2.1972245773362196</v>
      </c>
    </row>
    <row r="398" spans="1:45" x14ac:dyDescent="0.25">
      <c r="A398" s="1" t="s">
        <v>10</v>
      </c>
      <c r="B398" s="11">
        <v>43657</v>
      </c>
      <c r="C398">
        <v>192</v>
      </c>
      <c r="D398">
        <v>2019</v>
      </c>
      <c r="E398">
        <v>3008</v>
      </c>
      <c r="F398" s="1">
        <v>57600</v>
      </c>
      <c r="G398" s="44">
        <f t="shared" si="103"/>
        <v>0</v>
      </c>
      <c r="H398" s="13">
        <v>42.259500000000003</v>
      </c>
      <c r="I398" s="6">
        <v>-81.827666666666673</v>
      </c>
      <c r="J398">
        <v>42.261233333333337</v>
      </c>
      <c r="K398">
        <v>-81.829883333333328</v>
      </c>
      <c r="L398">
        <v>41.621000000000002</v>
      </c>
      <c r="M398">
        <v>-81.539483333333337</v>
      </c>
      <c r="N398" s="22">
        <f t="shared" si="114"/>
        <v>2.8139039705551774E-3</v>
      </c>
      <c r="O398" s="22">
        <f t="shared" si="115"/>
        <v>0.70052257894454295</v>
      </c>
      <c r="P398" s="22">
        <f t="shared" si="102"/>
        <v>2.8139039705551774E-3</v>
      </c>
      <c r="Q398">
        <v>23.3</v>
      </c>
      <c r="R398">
        <v>21.9</v>
      </c>
      <c r="S398">
        <v>13</v>
      </c>
      <c r="T398" s="12">
        <v>6</v>
      </c>
      <c r="U398" s="47">
        <v>0</v>
      </c>
      <c r="V398">
        <v>2803</v>
      </c>
      <c r="W398">
        <v>20</v>
      </c>
      <c r="X398">
        <v>0.98</v>
      </c>
      <c r="Y398">
        <v>59</v>
      </c>
      <c r="Z398" s="28">
        <f t="shared" si="104"/>
        <v>0</v>
      </c>
      <c r="AA398" s="28">
        <f t="shared" si="105"/>
        <v>1.05</v>
      </c>
      <c r="AB398" s="28">
        <f t="shared" si="106"/>
        <v>0</v>
      </c>
      <c r="AC398" s="28">
        <f t="shared" si="107"/>
        <v>0.25</v>
      </c>
      <c r="AD398" s="28">
        <f t="shared" si="108"/>
        <v>1.2</v>
      </c>
      <c r="AE398" s="28">
        <f t="shared" si="116"/>
        <v>0</v>
      </c>
      <c r="AF398" s="28">
        <f t="shared" si="117"/>
        <v>0.3559322033898305</v>
      </c>
      <c r="AG398" s="28">
        <f t="shared" si="118"/>
        <v>0</v>
      </c>
      <c r="AH398" s="28">
        <f t="shared" si="119"/>
        <v>8.4745762711864403E-2</v>
      </c>
      <c r="AI398" s="28">
        <f t="shared" si="120"/>
        <v>0.40677966101694918</v>
      </c>
      <c r="AJ398" s="28">
        <v>0</v>
      </c>
      <c r="AK398">
        <v>21</v>
      </c>
      <c r="AL398" s="28">
        <v>0</v>
      </c>
      <c r="AM398">
        <v>5</v>
      </c>
      <c r="AN398">
        <v>24</v>
      </c>
      <c r="AO398" s="22">
        <f t="shared" si="109"/>
        <v>0</v>
      </c>
      <c r="AP398" s="22">
        <f t="shared" si="110"/>
        <v>3.0910424533583161</v>
      </c>
      <c r="AQ398" s="22">
        <f t="shared" si="111"/>
        <v>0</v>
      </c>
      <c r="AR398" s="22">
        <f t="shared" si="112"/>
        <v>1.791759469228055</v>
      </c>
      <c r="AS398" s="22">
        <f t="shared" si="113"/>
        <v>3.2188758248682006</v>
      </c>
    </row>
    <row r="399" spans="1:45" x14ac:dyDescent="0.25">
      <c r="A399" s="1" t="s">
        <v>10</v>
      </c>
      <c r="B399" s="11">
        <v>43657</v>
      </c>
      <c r="C399">
        <v>192</v>
      </c>
      <c r="D399">
        <v>2019</v>
      </c>
      <c r="E399">
        <v>3009</v>
      </c>
      <c r="F399" s="1">
        <v>57600</v>
      </c>
      <c r="G399" s="44">
        <f t="shared" si="103"/>
        <v>0</v>
      </c>
      <c r="H399" s="6">
        <v>42.247</v>
      </c>
      <c r="I399" s="6">
        <v>-81.835999999999999</v>
      </c>
      <c r="J399">
        <v>42.261233333333337</v>
      </c>
      <c r="K399">
        <v>-81.829883333333328</v>
      </c>
      <c r="L399">
        <v>41.621000000000002</v>
      </c>
      <c r="M399">
        <v>-81.539483333333337</v>
      </c>
      <c r="N399" s="22">
        <f t="shared" si="114"/>
        <v>1.5491978210965823E-2</v>
      </c>
      <c r="O399" s="22">
        <f t="shared" si="115"/>
        <v>0.69267462318978124</v>
      </c>
      <c r="P399" s="22">
        <f t="shared" si="102"/>
        <v>1.5491978210965823E-2</v>
      </c>
      <c r="Q399">
        <v>23.5</v>
      </c>
      <c r="R399">
        <v>19.100000000000001</v>
      </c>
      <c r="S399">
        <v>13.9</v>
      </c>
      <c r="T399">
        <v>9</v>
      </c>
      <c r="U399" s="1">
        <v>0</v>
      </c>
      <c r="V399">
        <v>2841</v>
      </c>
      <c r="W399">
        <v>20</v>
      </c>
      <c r="X399">
        <v>0.99</v>
      </c>
      <c r="Y399">
        <v>1378</v>
      </c>
      <c r="Z399" s="28">
        <f t="shared" si="104"/>
        <v>0.3</v>
      </c>
      <c r="AA399" s="28">
        <f t="shared" si="105"/>
        <v>1.1000000000000001</v>
      </c>
      <c r="AB399" s="28">
        <f t="shared" si="106"/>
        <v>65.25</v>
      </c>
      <c r="AC399" s="28">
        <f t="shared" si="107"/>
        <v>0.05</v>
      </c>
      <c r="AD399" s="28">
        <f t="shared" si="108"/>
        <v>1.1000000000000001</v>
      </c>
      <c r="AE399" s="28">
        <f t="shared" si="116"/>
        <v>4.3541364296081275E-3</v>
      </c>
      <c r="AF399" s="28">
        <f t="shared" si="117"/>
        <v>1.5965166908563134E-2</v>
      </c>
      <c r="AG399" s="28">
        <f t="shared" si="118"/>
        <v>0.94702467343976782</v>
      </c>
      <c r="AH399" s="28">
        <f t="shared" si="119"/>
        <v>7.2568940493468795E-4</v>
      </c>
      <c r="AI399" s="28">
        <f t="shared" si="120"/>
        <v>1.5965166908563134E-2</v>
      </c>
      <c r="AJ399">
        <v>6</v>
      </c>
      <c r="AK399">
        <v>22</v>
      </c>
      <c r="AL399">
        <v>1305</v>
      </c>
      <c r="AM399">
        <v>1</v>
      </c>
      <c r="AN399">
        <v>22</v>
      </c>
      <c r="AO399" s="22">
        <f t="shared" si="109"/>
        <v>1.9459101490553132</v>
      </c>
      <c r="AP399" s="22">
        <f t="shared" si="110"/>
        <v>3.1354942159291497</v>
      </c>
      <c r="AQ399" s="22">
        <f t="shared" si="111"/>
        <v>7.1747243098363764</v>
      </c>
      <c r="AR399" s="22">
        <f t="shared" si="112"/>
        <v>0.69314718055994529</v>
      </c>
      <c r="AS399" s="22">
        <f t="shared" si="113"/>
        <v>3.1354942159291497</v>
      </c>
    </row>
    <row r="400" spans="1:45" x14ac:dyDescent="0.25">
      <c r="A400" s="1" t="s">
        <v>10</v>
      </c>
      <c r="B400" s="11">
        <v>43657</v>
      </c>
      <c r="C400">
        <v>192</v>
      </c>
      <c r="D400">
        <v>2019</v>
      </c>
      <c r="E400">
        <v>4001</v>
      </c>
      <c r="F400" s="1">
        <v>57350</v>
      </c>
      <c r="G400" s="44">
        <f t="shared" si="103"/>
        <v>0</v>
      </c>
      <c r="H400" s="6">
        <v>41.932833333333335</v>
      </c>
      <c r="I400" s="6">
        <v>-82.162333333333336</v>
      </c>
      <c r="J400">
        <v>42.1434</v>
      </c>
      <c r="K400">
        <v>-82.285266666666672</v>
      </c>
      <c r="L400">
        <v>41.52558333333333</v>
      </c>
      <c r="M400">
        <v>-81.97645</v>
      </c>
      <c r="N400" s="22">
        <f t="shared" si="114"/>
        <v>0.24382560479891249</v>
      </c>
      <c r="O400" s="22">
        <f t="shared" si="115"/>
        <v>0.44766636696441264</v>
      </c>
      <c r="P400" s="22">
        <f t="shared" si="102"/>
        <v>0.24382560479891249</v>
      </c>
      <c r="Q400">
        <v>24.5</v>
      </c>
      <c r="R400">
        <v>24.5</v>
      </c>
      <c r="S400">
        <v>21.9</v>
      </c>
      <c r="T400">
        <v>6</v>
      </c>
      <c r="U400" s="1">
        <v>0</v>
      </c>
      <c r="V400">
        <v>2211</v>
      </c>
      <c r="W400">
        <v>20</v>
      </c>
      <c r="X400">
        <v>0.96</v>
      </c>
      <c r="Y400">
        <v>36</v>
      </c>
      <c r="Z400" s="28">
        <f t="shared" si="104"/>
        <v>0.1</v>
      </c>
      <c r="AA400" s="28">
        <f t="shared" si="105"/>
        <v>0.8</v>
      </c>
      <c r="AB400" s="28">
        <f t="shared" si="106"/>
        <v>0</v>
      </c>
      <c r="AC400" s="28">
        <f t="shared" si="107"/>
        <v>0</v>
      </c>
      <c r="AD400" s="28">
        <f t="shared" si="108"/>
        <v>0.7</v>
      </c>
      <c r="AE400" s="28">
        <f t="shared" si="116"/>
        <v>5.5555555555555552E-2</v>
      </c>
      <c r="AF400" s="28">
        <f t="shared" si="117"/>
        <v>0.44444444444444442</v>
      </c>
      <c r="AG400" s="28">
        <f t="shared" si="118"/>
        <v>0</v>
      </c>
      <c r="AH400" s="28">
        <f t="shared" si="119"/>
        <v>0</v>
      </c>
      <c r="AI400" s="28">
        <f t="shared" si="120"/>
        <v>0.3888888888888889</v>
      </c>
      <c r="AJ400">
        <v>2</v>
      </c>
      <c r="AK400">
        <v>16</v>
      </c>
      <c r="AL400" s="28">
        <v>0</v>
      </c>
      <c r="AM400">
        <v>0</v>
      </c>
      <c r="AN400">
        <v>14</v>
      </c>
      <c r="AO400" s="22">
        <f t="shared" si="109"/>
        <v>1.0986122886681098</v>
      </c>
      <c r="AP400" s="22">
        <f t="shared" si="110"/>
        <v>2.8332133440562162</v>
      </c>
      <c r="AQ400" s="22">
        <f t="shared" si="111"/>
        <v>0</v>
      </c>
      <c r="AR400" s="22">
        <f t="shared" si="112"/>
        <v>0</v>
      </c>
      <c r="AS400" s="22">
        <f t="shared" si="113"/>
        <v>2.7080502011022101</v>
      </c>
    </row>
    <row r="401" spans="1:45" x14ac:dyDescent="0.25">
      <c r="A401" s="1" t="s">
        <v>10</v>
      </c>
      <c r="B401" s="11">
        <v>43657</v>
      </c>
      <c r="C401">
        <v>192</v>
      </c>
      <c r="D401">
        <v>2019</v>
      </c>
      <c r="E401">
        <v>4002</v>
      </c>
      <c r="F401" s="1">
        <v>57350</v>
      </c>
      <c r="G401" s="44">
        <f t="shared" si="103"/>
        <v>0</v>
      </c>
      <c r="H401" s="6">
        <v>41.919499999999999</v>
      </c>
      <c r="I401" s="6">
        <v>-82.164000000000001</v>
      </c>
      <c r="J401">
        <v>42.1434</v>
      </c>
      <c r="K401">
        <v>-82.285266666666672</v>
      </c>
      <c r="L401">
        <v>41.52558333333333</v>
      </c>
      <c r="M401">
        <v>-81.97645</v>
      </c>
      <c r="N401" s="22">
        <f t="shared" si="114"/>
        <v>0.25463074135784469</v>
      </c>
      <c r="O401" s="22">
        <f t="shared" si="115"/>
        <v>0.4362858498482165</v>
      </c>
      <c r="P401" s="22">
        <f t="shared" si="102"/>
        <v>0.25463074135784469</v>
      </c>
      <c r="Q401">
        <v>24.5</v>
      </c>
      <c r="R401">
        <v>23.8</v>
      </c>
      <c r="S401">
        <v>21.8</v>
      </c>
      <c r="T401">
        <v>10</v>
      </c>
      <c r="U401" s="1">
        <v>0</v>
      </c>
      <c r="V401">
        <v>2254</v>
      </c>
      <c r="W401">
        <v>20</v>
      </c>
      <c r="X401">
        <v>0.98</v>
      </c>
      <c r="Y401">
        <v>81</v>
      </c>
      <c r="Z401" s="28">
        <f t="shared" si="104"/>
        <v>0.5</v>
      </c>
      <c r="AA401" s="28">
        <f t="shared" si="105"/>
        <v>2.5499999999999998</v>
      </c>
      <c r="AB401" s="28">
        <f t="shared" si="106"/>
        <v>0</v>
      </c>
      <c r="AC401" s="28">
        <f t="shared" si="107"/>
        <v>0</v>
      </c>
      <c r="AD401" s="28">
        <f t="shared" si="108"/>
        <v>0.75</v>
      </c>
      <c r="AE401" s="28">
        <f t="shared" si="116"/>
        <v>0.12345679012345678</v>
      </c>
      <c r="AF401" s="28">
        <f t="shared" si="117"/>
        <v>0.62962962962962965</v>
      </c>
      <c r="AG401" s="28">
        <f t="shared" si="118"/>
        <v>0</v>
      </c>
      <c r="AH401" s="28">
        <f t="shared" si="119"/>
        <v>0</v>
      </c>
      <c r="AI401" s="28">
        <f t="shared" si="120"/>
        <v>0.18518518518518517</v>
      </c>
      <c r="AJ401">
        <v>10</v>
      </c>
      <c r="AK401">
        <v>51</v>
      </c>
      <c r="AL401" s="28">
        <v>0</v>
      </c>
      <c r="AM401">
        <v>0</v>
      </c>
      <c r="AN401">
        <v>15</v>
      </c>
      <c r="AO401" s="22">
        <f t="shared" si="109"/>
        <v>2.3978952727983707</v>
      </c>
      <c r="AP401" s="22">
        <f t="shared" si="110"/>
        <v>3.9512437185814275</v>
      </c>
      <c r="AQ401" s="22">
        <f t="shared" si="111"/>
        <v>0</v>
      </c>
      <c r="AR401" s="22">
        <f t="shared" si="112"/>
        <v>0</v>
      </c>
      <c r="AS401" s="22">
        <f t="shared" si="113"/>
        <v>2.7725887222397811</v>
      </c>
    </row>
    <row r="402" spans="1:45" x14ac:dyDescent="0.25">
      <c r="A402" s="1" t="s">
        <v>10</v>
      </c>
      <c r="B402" s="11">
        <v>43657</v>
      </c>
      <c r="C402">
        <v>192</v>
      </c>
      <c r="D402">
        <v>2019</v>
      </c>
      <c r="E402">
        <v>4003</v>
      </c>
      <c r="F402" s="1">
        <v>57350</v>
      </c>
      <c r="G402" s="44">
        <f t="shared" si="103"/>
        <v>0</v>
      </c>
      <c r="H402" s="6">
        <v>41.930833333333332</v>
      </c>
      <c r="I402" s="6">
        <v>-82.166666666666671</v>
      </c>
      <c r="J402">
        <v>42.1434</v>
      </c>
      <c r="K402">
        <v>-82.285266666666672</v>
      </c>
      <c r="L402">
        <v>41.52558333333333</v>
      </c>
      <c r="M402">
        <v>-81.97645</v>
      </c>
      <c r="N402" s="22">
        <f t="shared" si="114"/>
        <v>0.24341435409149206</v>
      </c>
      <c r="O402" s="22">
        <f t="shared" si="115"/>
        <v>0.44767169083803093</v>
      </c>
      <c r="P402" s="22">
        <f t="shared" ref="P402:P407" si="121">MIN(O402, N402)</f>
        <v>0.24341435409149206</v>
      </c>
      <c r="Q402">
        <v>24.4</v>
      </c>
      <c r="R402">
        <v>18.7</v>
      </c>
      <c r="S402">
        <v>21.8</v>
      </c>
      <c r="T402">
        <v>13</v>
      </c>
      <c r="U402" s="1">
        <v>0</v>
      </c>
      <c r="V402">
        <v>2332</v>
      </c>
      <c r="W402">
        <v>20</v>
      </c>
      <c r="X402">
        <v>0.98</v>
      </c>
      <c r="Y402">
        <v>103</v>
      </c>
      <c r="Z402" s="28">
        <f t="shared" si="104"/>
        <v>0.45</v>
      </c>
      <c r="AA402" s="28">
        <f t="shared" si="105"/>
        <v>3.9</v>
      </c>
      <c r="AB402" s="28">
        <f t="shared" si="106"/>
        <v>0</v>
      </c>
      <c r="AC402" s="28">
        <f t="shared" si="107"/>
        <v>0</v>
      </c>
      <c r="AD402" s="28">
        <f t="shared" si="108"/>
        <v>0.65</v>
      </c>
      <c r="AE402" s="28">
        <f t="shared" si="116"/>
        <v>8.7378640776699032E-2</v>
      </c>
      <c r="AF402" s="28">
        <f t="shared" si="117"/>
        <v>0.75728155339805825</v>
      </c>
      <c r="AG402" s="28">
        <f t="shared" si="118"/>
        <v>0</v>
      </c>
      <c r="AH402" s="28">
        <f t="shared" si="119"/>
        <v>0</v>
      </c>
      <c r="AI402" s="28">
        <f t="shared" si="120"/>
        <v>0.12621359223300971</v>
      </c>
      <c r="AJ402">
        <v>9</v>
      </c>
      <c r="AK402">
        <v>78</v>
      </c>
      <c r="AL402" s="28">
        <v>0</v>
      </c>
      <c r="AM402">
        <v>0</v>
      </c>
      <c r="AN402">
        <v>13</v>
      </c>
      <c r="AO402" s="22">
        <f t="shared" si="109"/>
        <v>2.3025850929940459</v>
      </c>
      <c r="AP402" s="22">
        <f t="shared" si="110"/>
        <v>4.3694478524670215</v>
      </c>
      <c r="AQ402" s="22">
        <f t="shared" si="111"/>
        <v>0</v>
      </c>
      <c r="AR402" s="22">
        <f t="shared" si="112"/>
        <v>0</v>
      </c>
      <c r="AS402" s="22">
        <f t="shared" si="113"/>
        <v>2.6390573296152584</v>
      </c>
    </row>
    <row r="403" spans="1:45" x14ac:dyDescent="0.25">
      <c r="A403" s="1" t="s">
        <v>10</v>
      </c>
      <c r="B403" s="11">
        <v>43658</v>
      </c>
      <c r="C403">
        <v>193</v>
      </c>
      <c r="D403">
        <v>2019</v>
      </c>
      <c r="E403">
        <v>4004</v>
      </c>
      <c r="F403" s="1">
        <v>57350</v>
      </c>
      <c r="G403" s="44">
        <f t="shared" ref="G403:G407" si="122">IF(F403&lt;57601, 0, 1)</f>
        <v>0</v>
      </c>
      <c r="H403" s="6">
        <v>42.062666666666665</v>
      </c>
      <c r="I403" s="6">
        <v>-82.223500000000001</v>
      </c>
      <c r="J403">
        <v>42.1434</v>
      </c>
      <c r="K403">
        <v>-82.285266666666672</v>
      </c>
      <c r="L403">
        <v>41.52558333333333</v>
      </c>
      <c r="M403">
        <v>-81.97645</v>
      </c>
      <c r="N403" s="22">
        <f t="shared" si="114"/>
        <v>0.10165132671157293</v>
      </c>
      <c r="O403" s="22">
        <f t="shared" si="115"/>
        <v>0.59117866118834761</v>
      </c>
      <c r="P403" s="22">
        <f t="shared" si="121"/>
        <v>0.10165132671157293</v>
      </c>
      <c r="Q403">
        <v>23.2</v>
      </c>
      <c r="R403">
        <v>23.1</v>
      </c>
      <c r="S403">
        <v>21.5</v>
      </c>
      <c r="T403">
        <v>8</v>
      </c>
      <c r="U403" s="1">
        <v>0</v>
      </c>
      <c r="V403">
        <v>2514</v>
      </c>
      <c r="W403">
        <v>20</v>
      </c>
      <c r="X403">
        <v>1.02</v>
      </c>
      <c r="Y403">
        <v>27</v>
      </c>
      <c r="Z403" s="28">
        <f t="shared" ref="Z403:Z407" si="123">AJ403/$W403</f>
        <v>0</v>
      </c>
      <c r="AA403" s="28">
        <f t="shared" ref="AA403:AA407" si="124">AK403/$W403</f>
        <v>0.15</v>
      </c>
      <c r="AB403" s="28">
        <f t="shared" ref="AB403:AB407" si="125">AL403/$W403</f>
        <v>0</v>
      </c>
      <c r="AC403" s="28">
        <f t="shared" ref="AC403:AC407" si="126">AM403/$W403</f>
        <v>0</v>
      </c>
      <c r="AD403" s="28">
        <f t="shared" ref="AD403:AD407" si="127">AN403/$W403</f>
        <v>0.25</v>
      </c>
      <c r="AE403" s="28">
        <f t="shared" si="116"/>
        <v>0</v>
      </c>
      <c r="AF403" s="28">
        <f t="shared" si="117"/>
        <v>0.1111111111111111</v>
      </c>
      <c r="AG403" s="28">
        <f t="shared" si="118"/>
        <v>0</v>
      </c>
      <c r="AH403" s="28">
        <f t="shared" si="119"/>
        <v>0</v>
      </c>
      <c r="AI403" s="28">
        <f t="shared" si="120"/>
        <v>0.18518518518518517</v>
      </c>
      <c r="AJ403" s="28">
        <v>0</v>
      </c>
      <c r="AK403">
        <v>3</v>
      </c>
      <c r="AL403" s="28">
        <v>0</v>
      </c>
      <c r="AM403">
        <v>0</v>
      </c>
      <c r="AN403">
        <v>5</v>
      </c>
      <c r="AO403" s="22">
        <f t="shared" ref="AO403:AO407" si="128">LN(AJ403+1)</f>
        <v>0</v>
      </c>
      <c r="AP403" s="22">
        <f t="shared" ref="AP403:AP407" si="129">LN(AK403+1)</f>
        <v>1.3862943611198906</v>
      </c>
      <c r="AQ403" s="22">
        <f t="shared" ref="AQ403:AQ407" si="130">LN(AL403+1)</f>
        <v>0</v>
      </c>
      <c r="AR403" s="22">
        <f t="shared" ref="AR403:AR407" si="131">LN(AM403+1)</f>
        <v>0</v>
      </c>
      <c r="AS403" s="22">
        <f t="shared" ref="AS403:AS407" si="132">LN(AN403+1)</f>
        <v>1.791759469228055</v>
      </c>
    </row>
    <row r="404" spans="1:45" x14ac:dyDescent="0.25">
      <c r="A404" s="1" t="s">
        <v>10</v>
      </c>
      <c r="B404" s="11">
        <v>43658</v>
      </c>
      <c r="C404">
        <v>193</v>
      </c>
      <c r="D404">
        <v>2019</v>
      </c>
      <c r="E404">
        <v>4005</v>
      </c>
      <c r="F404" s="1">
        <v>57350</v>
      </c>
      <c r="G404" s="44">
        <f t="shared" si="122"/>
        <v>0</v>
      </c>
      <c r="H404" s="6">
        <v>42.043500000000002</v>
      </c>
      <c r="I404" s="6">
        <v>-82.224166666666662</v>
      </c>
      <c r="J404">
        <v>42.1434</v>
      </c>
      <c r="K404">
        <v>-82.285266666666672</v>
      </c>
      <c r="L404">
        <v>41.52558333333333</v>
      </c>
      <c r="M404">
        <v>-81.97645</v>
      </c>
      <c r="N404" s="22">
        <f t="shared" si="114"/>
        <v>0.11710345853133838</v>
      </c>
      <c r="O404" s="22">
        <f t="shared" si="115"/>
        <v>0.57410906677700047</v>
      </c>
      <c r="P404" s="22">
        <f t="shared" si="121"/>
        <v>0.11710345853133838</v>
      </c>
      <c r="Q404">
        <v>23.3</v>
      </c>
      <c r="R404">
        <v>16.7</v>
      </c>
      <c r="S404">
        <v>21.5</v>
      </c>
      <c r="T404">
        <v>13</v>
      </c>
      <c r="U404" s="1">
        <v>0</v>
      </c>
      <c r="V404">
        <v>2558</v>
      </c>
      <c r="W404">
        <v>20</v>
      </c>
      <c r="X404">
        <v>1.01</v>
      </c>
      <c r="Y404">
        <v>105</v>
      </c>
      <c r="Z404" s="28">
        <f t="shared" si="123"/>
        <v>0</v>
      </c>
      <c r="AA404" s="28">
        <f t="shared" si="124"/>
        <v>3.45</v>
      </c>
      <c r="AB404" s="28">
        <f t="shared" si="125"/>
        <v>0</v>
      </c>
      <c r="AC404" s="28">
        <f t="shared" si="126"/>
        <v>0</v>
      </c>
      <c r="AD404" s="28">
        <f t="shared" si="127"/>
        <v>1.5</v>
      </c>
      <c r="AE404" s="28">
        <f t="shared" si="116"/>
        <v>0</v>
      </c>
      <c r="AF404" s="28">
        <f t="shared" si="117"/>
        <v>0.65714285714285714</v>
      </c>
      <c r="AG404" s="28">
        <f t="shared" si="118"/>
        <v>0</v>
      </c>
      <c r="AH404" s="28">
        <f t="shared" si="119"/>
        <v>0</v>
      </c>
      <c r="AI404" s="28">
        <f t="shared" si="120"/>
        <v>0.2857142857142857</v>
      </c>
      <c r="AJ404" s="28">
        <v>0</v>
      </c>
      <c r="AK404">
        <v>69</v>
      </c>
      <c r="AL404" s="28">
        <v>0</v>
      </c>
      <c r="AM404">
        <v>0</v>
      </c>
      <c r="AN404">
        <v>30</v>
      </c>
      <c r="AO404" s="22">
        <f t="shared" si="128"/>
        <v>0</v>
      </c>
      <c r="AP404" s="22">
        <f t="shared" si="129"/>
        <v>4.2484952420493594</v>
      </c>
      <c r="AQ404" s="22">
        <f t="shared" si="130"/>
        <v>0</v>
      </c>
      <c r="AR404" s="22">
        <f t="shared" si="131"/>
        <v>0</v>
      </c>
      <c r="AS404" s="22">
        <f t="shared" si="132"/>
        <v>3.4339872044851463</v>
      </c>
    </row>
    <row r="405" spans="1:45" x14ac:dyDescent="0.25">
      <c r="A405" s="1" t="s">
        <v>10</v>
      </c>
      <c r="B405" s="11">
        <v>43658</v>
      </c>
      <c r="C405">
        <v>193</v>
      </c>
      <c r="D405">
        <v>2019</v>
      </c>
      <c r="E405">
        <v>4006</v>
      </c>
      <c r="F405" s="1">
        <v>57350</v>
      </c>
      <c r="G405" s="44">
        <f t="shared" si="122"/>
        <v>0</v>
      </c>
      <c r="H405" s="13">
        <v>42.057166666666667</v>
      </c>
      <c r="I405" s="6">
        <v>-82.221666666666664</v>
      </c>
      <c r="J405">
        <v>42.1434</v>
      </c>
      <c r="K405">
        <v>-82.285266666666672</v>
      </c>
      <c r="L405">
        <v>41.52558333333333</v>
      </c>
      <c r="M405">
        <v>-81.97645</v>
      </c>
      <c r="N405" s="22">
        <f t="shared" si="114"/>
        <v>0.1071501179550385</v>
      </c>
      <c r="O405" s="22">
        <f t="shared" si="115"/>
        <v>0.58541613736631126</v>
      </c>
      <c r="P405" s="22">
        <f t="shared" si="121"/>
        <v>0.1071501179550385</v>
      </c>
      <c r="Q405">
        <v>23.1</v>
      </c>
      <c r="R405">
        <v>15.3</v>
      </c>
      <c r="S405">
        <v>21.6</v>
      </c>
      <c r="T405" s="12">
        <v>15</v>
      </c>
      <c r="U405" s="21">
        <v>0</v>
      </c>
      <c r="V405">
        <v>2639</v>
      </c>
      <c r="W405">
        <v>20</v>
      </c>
      <c r="X405">
        <v>1.01</v>
      </c>
      <c r="Y405">
        <v>64</v>
      </c>
      <c r="Z405" s="28">
        <f t="shared" si="123"/>
        <v>0</v>
      </c>
      <c r="AA405" s="28">
        <f t="shared" si="124"/>
        <v>1.1000000000000001</v>
      </c>
      <c r="AB405" s="28">
        <f t="shared" si="125"/>
        <v>0.15</v>
      </c>
      <c r="AC405" s="28">
        <f t="shared" si="126"/>
        <v>0</v>
      </c>
      <c r="AD405" s="28">
        <f t="shared" si="127"/>
        <v>1.7</v>
      </c>
      <c r="AE405" s="28">
        <f t="shared" si="116"/>
        <v>0</v>
      </c>
      <c r="AF405" s="28">
        <f t="shared" si="117"/>
        <v>0.34375</v>
      </c>
      <c r="AG405" s="28">
        <f t="shared" si="118"/>
        <v>4.6875E-2</v>
      </c>
      <c r="AH405" s="28">
        <f t="shared" si="119"/>
        <v>0</v>
      </c>
      <c r="AI405" s="28">
        <f t="shared" si="120"/>
        <v>0.53125</v>
      </c>
      <c r="AJ405" s="28">
        <v>0</v>
      </c>
      <c r="AK405">
        <v>22</v>
      </c>
      <c r="AL405">
        <v>3</v>
      </c>
      <c r="AM405">
        <v>0</v>
      </c>
      <c r="AN405">
        <v>34</v>
      </c>
      <c r="AO405" s="22">
        <f t="shared" si="128"/>
        <v>0</v>
      </c>
      <c r="AP405" s="22">
        <f t="shared" si="129"/>
        <v>3.1354942159291497</v>
      </c>
      <c r="AQ405" s="22">
        <f t="shared" si="130"/>
        <v>1.3862943611198906</v>
      </c>
      <c r="AR405" s="22">
        <f t="shared" si="131"/>
        <v>0</v>
      </c>
      <c r="AS405" s="22">
        <f t="shared" si="132"/>
        <v>3.5553480614894135</v>
      </c>
    </row>
    <row r="406" spans="1:45" x14ac:dyDescent="0.25">
      <c r="A406" s="1" t="s">
        <v>10</v>
      </c>
      <c r="B406" s="11">
        <v>43658</v>
      </c>
      <c r="C406">
        <v>193</v>
      </c>
      <c r="D406">
        <v>2019</v>
      </c>
      <c r="E406">
        <v>4007</v>
      </c>
      <c r="F406" s="1">
        <v>57350</v>
      </c>
      <c r="G406" s="44">
        <f t="shared" si="122"/>
        <v>0</v>
      </c>
      <c r="H406" s="6">
        <v>42.130166666666668</v>
      </c>
      <c r="I406" s="6">
        <v>-82.251833333333337</v>
      </c>
      <c r="J406">
        <v>42.1434</v>
      </c>
      <c r="K406">
        <v>-82.285266666666672</v>
      </c>
      <c r="L406">
        <v>41.52558333333333</v>
      </c>
      <c r="M406">
        <v>-81.97645</v>
      </c>
      <c r="N406" s="22">
        <f t="shared" si="114"/>
        <v>3.5957042271145601E-2</v>
      </c>
      <c r="O406" s="22">
        <f t="shared" si="115"/>
        <v>0.6643470382429878</v>
      </c>
      <c r="P406" s="22">
        <f t="shared" si="121"/>
        <v>3.5957042271145601E-2</v>
      </c>
      <c r="Q406">
        <v>23.4</v>
      </c>
      <c r="R406">
        <v>23.2</v>
      </c>
      <c r="S406">
        <v>17.2</v>
      </c>
      <c r="T406">
        <v>8</v>
      </c>
      <c r="U406" s="1">
        <v>0</v>
      </c>
      <c r="V406">
        <v>2801</v>
      </c>
      <c r="W406">
        <v>20</v>
      </c>
      <c r="X406">
        <v>1</v>
      </c>
      <c r="Y406">
        <v>362</v>
      </c>
      <c r="Z406" s="28">
        <f t="shared" si="123"/>
        <v>7.85</v>
      </c>
      <c r="AA406" s="28">
        <f t="shared" si="124"/>
        <v>0.6</v>
      </c>
      <c r="AB406" s="28">
        <f t="shared" si="125"/>
        <v>0</v>
      </c>
      <c r="AC406" s="28">
        <f t="shared" si="126"/>
        <v>0.15</v>
      </c>
      <c r="AD406" s="28">
        <f t="shared" si="127"/>
        <v>2.25</v>
      </c>
      <c r="AE406" s="28">
        <f t="shared" si="116"/>
        <v>0.43370165745856354</v>
      </c>
      <c r="AF406" s="28">
        <f t="shared" si="117"/>
        <v>3.3149171270718231E-2</v>
      </c>
      <c r="AG406" s="28">
        <f t="shared" si="118"/>
        <v>0</v>
      </c>
      <c r="AH406" s="28">
        <f t="shared" si="119"/>
        <v>8.2872928176795577E-3</v>
      </c>
      <c r="AI406" s="28">
        <f t="shared" si="120"/>
        <v>0.12430939226519337</v>
      </c>
      <c r="AJ406">
        <v>157</v>
      </c>
      <c r="AK406">
        <v>12</v>
      </c>
      <c r="AL406" s="28">
        <v>0</v>
      </c>
      <c r="AM406">
        <v>3</v>
      </c>
      <c r="AN406">
        <v>45</v>
      </c>
      <c r="AO406" s="22">
        <f t="shared" si="128"/>
        <v>5.0625950330269669</v>
      </c>
      <c r="AP406" s="22">
        <f t="shared" si="129"/>
        <v>2.5649493574615367</v>
      </c>
      <c r="AQ406" s="22">
        <f t="shared" si="130"/>
        <v>0</v>
      </c>
      <c r="AR406" s="22">
        <f t="shared" si="131"/>
        <v>1.3862943611198906</v>
      </c>
      <c r="AS406" s="22">
        <f t="shared" si="132"/>
        <v>3.8286413964890951</v>
      </c>
    </row>
    <row r="407" spans="1:45" x14ac:dyDescent="0.25">
      <c r="A407" s="1" t="s">
        <v>10</v>
      </c>
      <c r="B407" s="11">
        <v>43658</v>
      </c>
      <c r="C407">
        <v>193</v>
      </c>
      <c r="D407">
        <v>2019</v>
      </c>
      <c r="E407">
        <v>4008</v>
      </c>
      <c r="F407" s="1">
        <v>57350</v>
      </c>
      <c r="G407" s="44">
        <f t="shared" si="122"/>
        <v>0</v>
      </c>
      <c r="H407" s="13">
        <v>42.145333333333333</v>
      </c>
      <c r="I407" s="6">
        <v>-82.259666666666661</v>
      </c>
      <c r="J407">
        <v>42.1434</v>
      </c>
      <c r="K407">
        <v>-82.285266666666672</v>
      </c>
      <c r="L407">
        <v>41.52558333333333</v>
      </c>
      <c r="M407">
        <v>-81.97645</v>
      </c>
      <c r="N407" s="22">
        <f t="shared" si="114"/>
        <v>2.5672899676085711E-2</v>
      </c>
      <c r="O407" s="22">
        <f t="shared" si="115"/>
        <v>0.68139690546536724</v>
      </c>
      <c r="P407" s="22">
        <f t="shared" si="121"/>
        <v>2.5672899676085711E-2</v>
      </c>
      <c r="Q407">
        <v>23.5</v>
      </c>
      <c r="R407">
        <v>14.3</v>
      </c>
      <c r="S407">
        <v>15</v>
      </c>
      <c r="T407" s="12">
        <v>12</v>
      </c>
      <c r="U407" s="21">
        <v>0</v>
      </c>
      <c r="V407">
        <v>2836</v>
      </c>
      <c r="W407">
        <v>20</v>
      </c>
      <c r="X407">
        <v>1</v>
      </c>
      <c r="Y407">
        <v>149</v>
      </c>
      <c r="Z407" s="28">
        <f t="shared" si="123"/>
        <v>2.1</v>
      </c>
      <c r="AA407" s="28">
        <f t="shared" si="124"/>
        <v>2.5</v>
      </c>
      <c r="AB407" s="28">
        <f t="shared" si="125"/>
        <v>0</v>
      </c>
      <c r="AC407" s="28">
        <f t="shared" si="126"/>
        <v>0.05</v>
      </c>
      <c r="AD407" s="28">
        <f t="shared" si="127"/>
        <v>2.15</v>
      </c>
      <c r="AE407" s="28">
        <f t="shared" si="116"/>
        <v>0.28187919463087246</v>
      </c>
      <c r="AF407" s="28">
        <f t="shared" si="117"/>
        <v>0.33557046979865773</v>
      </c>
      <c r="AG407" s="28">
        <f t="shared" si="118"/>
        <v>0</v>
      </c>
      <c r="AH407" s="28">
        <f t="shared" si="119"/>
        <v>6.7114093959731542E-3</v>
      </c>
      <c r="AI407" s="28">
        <f t="shared" si="120"/>
        <v>0.28859060402684567</v>
      </c>
      <c r="AJ407">
        <v>42</v>
      </c>
      <c r="AK407">
        <v>50</v>
      </c>
      <c r="AL407" s="28">
        <v>0</v>
      </c>
      <c r="AM407">
        <v>1</v>
      </c>
      <c r="AN407">
        <v>43</v>
      </c>
      <c r="AO407" s="22">
        <f t="shared" si="128"/>
        <v>3.7612001156935624</v>
      </c>
      <c r="AP407" s="22">
        <f t="shared" si="129"/>
        <v>3.9318256327243257</v>
      </c>
      <c r="AQ407" s="22">
        <f t="shared" si="130"/>
        <v>0</v>
      </c>
      <c r="AR407" s="22">
        <f t="shared" si="131"/>
        <v>0.69314718055994529</v>
      </c>
      <c r="AS407" s="22">
        <f t="shared" si="132"/>
        <v>3.784189633918261</v>
      </c>
    </row>
    <row r="408" spans="1:45" x14ac:dyDescent="0.25">
      <c r="U408" s="47"/>
    </row>
    <row r="409" spans="1:45" x14ac:dyDescent="0.25">
      <c r="A409" s="1"/>
      <c r="U409" s="47"/>
    </row>
    <row r="410" spans="1:45" x14ac:dyDescent="0.25">
      <c r="A410" s="1"/>
    </row>
    <row r="411" spans="1:45" x14ac:dyDescent="0.25">
      <c r="A411" s="1"/>
    </row>
    <row r="412" spans="1:45" x14ac:dyDescent="0.25">
      <c r="A412" s="1"/>
    </row>
    <row r="413" spans="1:45" x14ac:dyDescent="0.25">
      <c r="A413" s="1"/>
    </row>
    <row r="414" spans="1:45" x14ac:dyDescent="0.25">
      <c r="A414" s="1"/>
    </row>
    <row r="415" spans="1:45" x14ac:dyDescent="0.25">
      <c r="A415" s="1"/>
    </row>
    <row r="416" spans="1:45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44"/>
    </row>
    <row r="467" spans="1:1" x14ac:dyDescent="0.25">
      <c r="A467" s="44"/>
    </row>
    <row r="468" spans="1:1" x14ac:dyDescent="0.25">
      <c r="A468" s="44"/>
    </row>
    <row r="469" spans="1:1" x14ac:dyDescent="0.25">
      <c r="A469" s="44"/>
    </row>
    <row r="470" spans="1:1" x14ac:dyDescent="0.25">
      <c r="A470" s="44"/>
    </row>
    <row r="471" spans="1:1" x14ac:dyDescent="0.25">
      <c r="A471" s="44"/>
    </row>
    <row r="472" spans="1:1" x14ac:dyDescent="0.25">
      <c r="A472" s="44"/>
    </row>
    <row r="473" spans="1:1" x14ac:dyDescent="0.25">
      <c r="A473" s="44"/>
    </row>
    <row r="474" spans="1:1" x14ac:dyDescent="0.25">
      <c r="A474" s="44"/>
    </row>
    <row r="475" spans="1:1" x14ac:dyDescent="0.25">
      <c r="A475" s="44"/>
    </row>
    <row r="476" spans="1:1" x14ac:dyDescent="0.25">
      <c r="A476" s="44"/>
    </row>
    <row r="477" spans="1:1" x14ac:dyDescent="0.25">
      <c r="A477" s="44"/>
    </row>
    <row r="478" spans="1:1" x14ac:dyDescent="0.25">
      <c r="A478" s="44"/>
    </row>
    <row r="479" spans="1:1" x14ac:dyDescent="0.25">
      <c r="A479" s="44"/>
    </row>
    <row r="480" spans="1:1" x14ac:dyDescent="0.25">
      <c r="A480" s="44"/>
    </row>
    <row r="481" spans="1:1" x14ac:dyDescent="0.25">
      <c r="A481" s="44"/>
    </row>
    <row r="482" spans="1:1" x14ac:dyDescent="0.25">
      <c r="A482" s="44"/>
    </row>
    <row r="483" spans="1:1" x14ac:dyDescent="0.25">
      <c r="A483" s="44"/>
    </row>
    <row r="484" spans="1:1" x14ac:dyDescent="0.25">
      <c r="A484" s="44"/>
    </row>
    <row r="485" spans="1:1" x14ac:dyDescent="0.25">
      <c r="A485" s="44"/>
    </row>
    <row r="486" spans="1:1" x14ac:dyDescent="0.25">
      <c r="A486" s="44"/>
    </row>
    <row r="487" spans="1:1" x14ac:dyDescent="0.25">
      <c r="A487" s="44"/>
    </row>
    <row r="488" spans="1:1" x14ac:dyDescent="0.25">
      <c r="A488" s="44"/>
    </row>
    <row r="489" spans="1:1" x14ac:dyDescent="0.25">
      <c r="A489" s="44"/>
    </row>
    <row r="490" spans="1:1" x14ac:dyDescent="0.25">
      <c r="A490" s="44"/>
    </row>
    <row r="491" spans="1:1" x14ac:dyDescent="0.25">
      <c r="A491" s="44"/>
    </row>
    <row r="492" spans="1:1" x14ac:dyDescent="0.25">
      <c r="A492" s="44"/>
    </row>
    <row r="493" spans="1:1" x14ac:dyDescent="0.25">
      <c r="A493" s="44"/>
    </row>
    <row r="494" spans="1:1" x14ac:dyDescent="0.25">
      <c r="A494" s="44"/>
    </row>
    <row r="495" spans="1:1" x14ac:dyDescent="0.25">
      <c r="A495" s="44"/>
    </row>
    <row r="496" spans="1:1" x14ac:dyDescent="0.25">
      <c r="A496" s="44"/>
    </row>
    <row r="497" spans="1:1" x14ac:dyDescent="0.25">
      <c r="A497" s="44"/>
    </row>
    <row r="498" spans="1:1" x14ac:dyDescent="0.25">
      <c r="A498" s="44"/>
    </row>
    <row r="499" spans="1:1" x14ac:dyDescent="0.25">
      <c r="A499" s="44"/>
    </row>
    <row r="500" spans="1:1" x14ac:dyDescent="0.25">
      <c r="A500" s="44"/>
    </row>
    <row r="501" spans="1:1" x14ac:dyDescent="0.25">
      <c r="A501" s="44"/>
    </row>
    <row r="502" spans="1:1" x14ac:dyDescent="0.25">
      <c r="A502" s="44"/>
    </row>
    <row r="503" spans="1:1" x14ac:dyDescent="0.25">
      <c r="A503" s="44"/>
    </row>
    <row r="504" spans="1:1" x14ac:dyDescent="0.25">
      <c r="A504" s="44"/>
    </row>
    <row r="505" spans="1:1" x14ac:dyDescent="0.25">
      <c r="A505" s="44"/>
    </row>
    <row r="506" spans="1:1" x14ac:dyDescent="0.25">
      <c r="A506" s="44"/>
    </row>
    <row r="507" spans="1:1" x14ac:dyDescent="0.25">
      <c r="A507" s="44"/>
    </row>
    <row r="508" spans="1:1" x14ac:dyDescent="0.25">
      <c r="A508" s="44"/>
    </row>
    <row r="509" spans="1:1" x14ac:dyDescent="0.25">
      <c r="A509" s="44"/>
    </row>
    <row r="510" spans="1:1" x14ac:dyDescent="0.25">
      <c r="A510" s="44"/>
    </row>
    <row r="511" spans="1:1" x14ac:dyDescent="0.25">
      <c r="A511" s="44"/>
    </row>
    <row r="512" spans="1:1" x14ac:dyDescent="0.25">
      <c r="A512" s="44"/>
    </row>
    <row r="513" spans="1:1" x14ac:dyDescent="0.25">
      <c r="A513" s="44"/>
    </row>
    <row r="514" spans="1:1" x14ac:dyDescent="0.25">
      <c r="A514" s="44"/>
    </row>
    <row r="515" spans="1:1" x14ac:dyDescent="0.25">
      <c r="A515" s="44"/>
    </row>
    <row r="516" spans="1:1" x14ac:dyDescent="0.25">
      <c r="A516" s="44"/>
    </row>
    <row r="517" spans="1:1" x14ac:dyDescent="0.25">
      <c r="A517" s="44"/>
    </row>
    <row r="518" spans="1:1" x14ac:dyDescent="0.25">
      <c r="A518" s="44"/>
    </row>
    <row r="519" spans="1:1" x14ac:dyDescent="0.25">
      <c r="A519" s="44"/>
    </row>
    <row r="520" spans="1:1" x14ac:dyDescent="0.25">
      <c r="A520" s="44"/>
    </row>
    <row r="521" spans="1:1" x14ac:dyDescent="0.25">
      <c r="A521" s="44"/>
    </row>
    <row r="522" spans="1:1" x14ac:dyDescent="0.25">
      <c r="A522" s="44"/>
    </row>
    <row r="523" spans="1:1" x14ac:dyDescent="0.25">
      <c r="A523" s="44"/>
    </row>
    <row r="524" spans="1:1" x14ac:dyDescent="0.25">
      <c r="A524" s="44"/>
    </row>
    <row r="525" spans="1:1" x14ac:dyDescent="0.25">
      <c r="A525" s="44"/>
    </row>
    <row r="526" spans="1:1" x14ac:dyDescent="0.25">
      <c r="A526" s="44"/>
    </row>
    <row r="527" spans="1:1" x14ac:dyDescent="0.25">
      <c r="A527" s="44"/>
    </row>
    <row r="528" spans="1:1" x14ac:dyDescent="0.25">
      <c r="A528" s="44"/>
    </row>
    <row r="529" spans="1:1" x14ac:dyDescent="0.25">
      <c r="A529" s="44"/>
    </row>
    <row r="530" spans="1:1" x14ac:dyDescent="0.25">
      <c r="A530" s="44"/>
    </row>
    <row r="531" spans="1:1" x14ac:dyDescent="0.25">
      <c r="A531" s="44"/>
    </row>
    <row r="532" spans="1:1" x14ac:dyDescent="0.25">
      <c r="A532" s="44"/>
    </row>
    <row r="533" spans="1:1" x14ac:dyDescent="0.25">
      <c r="A533" s="44"/>
    </row>
    <row r="534" spans="1:1" x14ac:dyDescent="0.25">
      <c r="A534" s="44"/>
    </row>
    <row r="535" spans="1:1" x14ac:dyDescent="0.25">
      <c r="A535" s="44"/>
    </row>
    <row r="536" spans="1:1" x14ac:dyDescent="0.25">
      <c r="A536" s="44"/>
    </row>
    <row r="537" spans="1:1" x14ac:dyDescent="0.25">
      <c r="A537" s="44"/>
    </row>
    <row r="538" spans="1:1" x14ac:dyDescent="0.25">
      <c r="A538" s="44"/>
    </row>
    <row r="539" spans="1:1" x14ac:dyDescent="0.25">
      <c r="A539" s="44"/>
    </row>
    <row r="540" spans="1:1" x14ac:dyDescent="0.25">
      <c r="A540" s="44"/>
    </row>
    <row r="541" spans="1:1" x14ac:dyDescent="0.25">
      <c r="A541" s="44"/>
    </row>
    <row r="542" spans="1:1" x14ac:dyDescent="0.25">
      <c r="A542" s="44"/>
    </row>
    <row r="543" spans="1:1" x14ac:dyDescent="0.25">
      <c r="A543" s="44"/>
    </row>
    <row r="544" spans="1:1" x14ac:dyDescent="0.25">
      <c r="A544" s="44"/>
    </row>
    <row r="545" spans="1:1" x14ac:dyDescent="0.25">
      <c r="A545" s="44"/>
    </row>
    <row r="546" spans="1:1" x14ac:dyDescent="0.25">
      <c r="A546" s="44"/>
    </row>
    <row r="547" spans="1:1" x14ac:dyDescent="0.25">
      <c r="A547" s="44"/>
    </row>
    <row r="548" spans="1:1" x14ac:dyDescent="0.25">
      <c r="A548" s="44"/>
    </row>
    <row r="549" spans="1:1" x14ac:dyDescent="0.25">
      <c r="A549" s="44"/>
    </row>
    <row r="550" spans="1:1" x14ac:dyDescent="0.25">
      <c r="A550" s="44"/>
    </row>
    <row r="551" spans="1:1" x14ac:dyDescent="0.25">
      <c r="A551" s="44"/>
    </row>
    <row r="552" spans="1:1" x14ac:dyDescent="0.25">
      <c r="A552" s="44"/>
    </row>
    <row r="553" spans="1:1" x14ac:dyDescent="0.25">
      <c r="A553" s="44"/>
    </row>
    <row r="554" spans="1:1" x14ac:dyDescent="0.25">
      <c r="A554" s="44"/>
    </row>
    <row r="555" spans="1:1" x14ac:dyDescent="0.25">
      <c r="A555" s="44"/>
    </row>
    <row r="556" spans="1:1" x14ac:dyDescent="0.25">
      <c r="A556" s="44"/>
    </row>
    <row r="557" spans="1:1" x14ac:dyDescent="0.25">
      <c r="A557" s="44"/>
    </row>
    <row r="558" spans="1:1" x14ac:dyDescent="0.25">
      <c r="A558" s="44"/>
    </row>
    <row r="559" spans="1:1" x14ac:dyDescent="0.25">
      <c r="A559" s="44"/>
    </row>
    <row r="560" spans="1:1" x14ac:dyDescent="0.25">
      <c r="A560" s="44"/>
    </row>
    <row r="561" spans="1:1" x14ac:dyDescent="0.25">
      <c r="A561" s="44"/>
    </row>
    <row r="562" spans="1:1" x14ac:dyDescent="0.25">
      <c r="A562" s="44"/>
    </row>
    <row r="563" spans="1:1" x14ac:dyDescent="0.25">
      <c r="A563" s="44"/>
    </row>
    <row r="564" spans="1:1" x14ac:dyDescent="0.25">
      <c r="A564" s="44"/>
    </row>
    <row r="565" spans="1:1" x14ac:dyDescent="0.25">
      <c r="A565" s="44"/>
    </row>
    <row r="566" spans="1:1" x14ac:dyDescent="0.25">
      <c r="A566" s="44"/>
    </row>
    <row r="567" spans="1:1" x14ac:dyDescent="0.25">
      <c r="A567" s="44"/>
    </row>
    <row r="568" spans="1:1" x14ac:dyDescent="0.25">
      <c r="A568" s="44"/>
    </row>
    <row r="569" spans="1:1" x14ac:dyDescent="0.25">
      <c r="A569" s="44"/>
    </row>
    <row r="570" spans="1:1" x14ac:dyDescent="0.25">
      <c r="A570" s="44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</sheetData>
  <sortState xmlns:xlrd2="http://schemas.microsoft.com/office/spreadsheetml/2017/richdata2" ref="A18:AI407">
    <sortCondition ref="D18:D407"/>
    <sortCondition ref="E18:E40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1ADC-87A8-4B87-94D3-FA849D490B12}">
  <dimension ref="A1:S391"/>
  <sheetViews>
    <sheetView tabSelected="1" workbookViewId="0">
      <selection activeCell="E23" sqref="E23"/>
    </sheetView>
  </sheetViews>
  <sheetFormatPr defaultRowHeight="15" x14ac:dyDescent="0.25"/>
  <cols>
    <col min="1" max="1" width="5" bestFit="1" customWidth="1"/>
    <col min="2" max="2" width="4" bestFit="1" customWidth="1"/>
    <col min="3" max="3" width="8.28515625" style="44" bestFit="1" customWidth="1"/>
    <col min="4" max="4" width="8.85546875" bestFit="1" customWidth="1"/>
    <col min="5" max="5" width="8" style="44" bestFit="1" customWidth="1"/>
    <col min="6" max="6" width="5.7109375" bestFit="1" customWidth="1"/>
    <col min="7" max="7" width="7.28515625" style="44" bestFit="1" customWidth="1"/>
    <col min="8" max="8" width="15" bestFit="1" customWidth="1"/>
    <col min="9" max="9" width="15.140625" bestFit="1" customWidth="1"/>
    <col min="10" max="12" width="12" bestFit="1" customWidth="1"/>
    <col min="13" max="13" width="12.140625" bestFit="1" customWidth="1"/>
    <col min="14" max="14" width="12" bestFit="1" customWidth="1"/>
    <col min="15" max="15" width="12.140625" bestFit="1" customWidth="1"/>
    <col min="16" max="16" width="11.5703125" bestFit="1" customWidth="1"/>
    <col min="17" max="17" width="11.85546875" bestFit="1" customWidth="1"/>
    <col min="18" max="18" width="8" bestFit="1" customWidth="1"/>
    <col min="19" max="19" width="11.5703125" bestFit="1" customWidth="1"/>
  </cols>
  <sheetData>
    <row r="1" spans="1:19" x14ac:dyDescent="0.25">
      <c r="A1" s="29" t="s">
        <v>11</v>
      </c>
      <c r="B1" s="29" t="s">
        <v>48</v>
      </c>
      <c r="C1" s="19" t="s">
        <v>3</v>
      </c>
      <c r="D1" s="49" t="s">
        <v>49</v>
      </c>
      <c r="E1" s="19" t="s">
        <v>55</v>
      </c>
      <c r="F1" s="19" t="s">
        <v>42</v>
      </c>
      <c r="G1" s="19" t="s">
        <v>56</v>
      </c>
      <c r="H1" s="29" t="s">
        <v>36</v>
      </c>
      <c r="I1" s="29" t="s">
        <v>37</v>
      </c>
      <c r="J1" s="29" t="s">
        <v>38</v>
      </c>
      <c r="K1" s="29" t="s">
        <v>39</v>
      </c>
      <c r="L1" s="29" t="s">
        <v>26</v>
      </c>
      <c r="M1" s="29" t="s">
        <v>25</v>
      </c>
      <c r="N1" s="29" t="s">
        <v>24</v>
      </c>
      <c r="O1" s="29" t="s">
        <v>32</v>
      </c>
      <c r="P1" s="29" t="s">
        <v>50</v>
      </c>
      <c r="Q1" s="29" t="s">
        <v>51</v>
      </c>
      <c r="R1" s="29" t="s">
        <v>52</v>
      </c>
      <c r="S1" s="29" t="s">
        <v>53</v>
      </c>
    </row>
    <row r="2" spans="1:19" x14ac:dyDescent="0.25">
      <c r="A2" s="44">
        <v>2009</v>
      </c>
      <c r="B2" s="44">
        <v>1</v>
      </c>
      <c r="C2" s="6">
        <v>-80.753320000000002</v>
      </c>
      <c r="D2" s="44">
        <v>1</v>
      </c>
      <c r="E2" s="40">
        <v>20.116799356262419</v>
      </c>
      <c r="F2" s="1">
        <v>0</v>
      </c>
      <c r="G2" s="1">
        <v>7.6199997561600075</v>
      </c>
      <c r="H2" s="44">
        <v>0.1</v>
      </c>
      <c r="I2" s="44">
        <v>0</v>
      </c>
      <c r="J2" s="44">
        <v>2.1</v>
      </c>
      <c r="K2" s="44">
        <v>0</v>
      </c>
      <c r="L2" s="44">
        <v>4.5454545454545456E-2</v>
      </c>
      <c r="M2" s="44">
        <v>0</v>
      </c>
      <c r="N2" s="44">
        <v>0.95454545454545459</v>
      </c>
      <c r="O2" s="44">
        <v>0</v>
      </c>
      <c r="P2" s="50">
        <v>0.69314718055994529</v>
      </c>
      <c r="Q2" s="50">
        <v>0</v>
      </c>
      <c r="R2" s="50">
        <v>3.0910424533583161</v>
      </c>
      <c r="S2" s="50">
        <v>0</v>
      </c>
    </row>
    <row r="3" spans="1:19" x14ac:dyDescent="0.25">
      <c r="A3" s="44">
        <v>2009</v>
      </c>
      <c r="B3" s="44">
        <v>1</v>
      </c>
      <c r="C3" s="6">
        <v>-80.845969999999994</v>
      </c>
      <c r="D3" s="44">
        <v>1</v>
      </c>
      <c r="E3" s="40">
        <v>21.945599297740824</v>
      </c>
      <c r="F3" s="1">
        <v>1</v>
      </c>
      <c r="G3" s="1">
        <v>13.715999561088013</v>
      </c>
      <c r="H3" s="44">
        <v>1.5</v>
      </c>
      <c r="I3" s="44">
        <v>0</v>
      </c>
      <c r="J3" s="44">
        <v>0.7</v>
      </c>
      <c r="K3" s="44">
        <v>0</v>
      </c>
      <c r="L3" s="44">
        <v>0.68181818181818177</v>
      </c>
      <c r="M3" s="44">
        <v>0</v>
      </c>
      <c r="N3" s="44">
        <v>0.31818181818181818</v>
      </c>
      <c r="O3" s="44">
        <v>0</v>
      </c>
      <c r="P3" s="50">
        <v>2.7725887222397811</v>
      </c>
      <c r="Q3" s="50">
        <v>0</v>
      </c>
      <c r="R3" s="50">
        <v>2.0794415416798357</v>
      </c>
      <c r="S3" s="50">
        <v>0</v>
      </c>
    </row>
    <row r="4" spans="1:19" x14ac:dyDescent="0.25">
      <c r="A4" s="44">
        <v>2009</v>
      </c>
      <c r="B4" s="44">
        <v>1</v>
      </c>
      <c r="C4" s="6">
        <v>-80.892070000000004</v>
      </c>
      <c r="D4" s="44">
        <v>1</v>
      </c>
      <c r="E4" s="40">
        <v>20.726399336755222</v>
      </c>
      <c r="F4" s="1">
        <v>1</v>
      </c>
      <c r="G4" s="1">
        <v>13.715999561088013</v>
      </c>
      <c r="H4" s="44">
        <v>0.1</v>
      </c>
      <c r="I4" s="44">
        <v>97.2</v>
      </c>
      <c r="J4" s="44">
        <v>0</v>
      </c>
      <c r="K4" s="44">
        <v>0</v>
      </c>
      <c r="L4" s="44">
        <v>1.026694045174538E-3</v>
      </c>
      <c r="M4" s="44">
        <v>0.99794661190965095</v>
      </c>
      <c r="N4" s="44">
        <v>0</v>
      </c>
      <c r="O4" s="44">
        <v>0</v>
      </c>
      <c r="P4" s="50">
        <v>0.69314718055994529</v>
      </c>
      <c r="Q4" s="50">
        <v>6.8803840821860049</v>
      </c>
      <c r="R4" s="50">
        <v>0</v>
      </c>
      <c r="S4" s="50">
        <v>0</v>
      </c>
    </row>
    <row r="5" spans="1:19" x14ac:dyDescent="0.25">
      <c r="A5" s="44">
        <v>2009</v>
      </c>
      <c r="B5" s="44">
        <v>1</v>
      </c>
      <c r="C5" s="6">
        <v>-81.416380000000004</v>
      </c>
      <c r="D5" s="44">
        <v>1</v>
      </c>
      <c r="E5" s="40">
        <v>19.811999366016021</v>
      </c>
      <c r="F5" s="1">
        <v>1</v>
      </c>
      <c r="G5" s="1">
        <v>13.715999561088013</v>
      </c>
      <c r="H5" s="44">
        <v>0.6</v>
      </c>
      <c r="I5" s="44">
        <v>72.400000000000006</v>
      </c>
      <c r="J5" s="44">
        <v>0</v>
      </c>
      <c r="K5" s="44">
        <v>0</v>
      </c>
      <c r="L5" s="44">
        <v>8.21917808219178E-3</v>
      </c>
      <c r="M5" s="44">
        <v>0.99178082191780825</v>
      </c>
      <c r="N5" s="44">
        <v>0</v>
      </c>
      <c r="O5" s="44">
        <v>0</v>
      </c>
      <c r="P5" s="50">
        <v>1.9459101490553132</v>
      </c>
      <c r="Q5" s="50">
        <v>6.5861716548546747</v>
      </c>
      <c r="R5" s="50">
        <v>0</v>
      </c>
      <c r="S5" s="50">
        <v>0</v>
      </c>
    </row>
    <row r="6" spans="1:19" x14ac:dyDescent="0.25">
      <c r="A6" s="44">
        <v>2009</v>
      </c>
      <c r="B6" s="44">
        <v>1</v>
      </c>
      <c r="C6" s="6">
        <v>-81.37482</v>
      </c>
      <c r="D6" s="44">
        <v>1</v>
      </c>
      <c r="E6" s="40">
        <v>22.555199278233623</v>
      </c>
      <c r="F6" s="1">
        <v>1</v>
      </c>
      <c r="G6" s="1">
        <v>16.763999463552018</v>
      </c>
      <c r="H6" s="44">
        <v>0.7</v>
      </c>
      <c r="I6" s="44">
        <v>109.6</v>
      </c>
      <c r="J6" s="44">
        <v>0</v>
      </c>
      <c r="K6" s="44">
        <v>0</v>
      </c>
      <c r="L6" s="44">
        <v>6.3463281958295557E-3</v>
      </c>
      <c r="M6" s="44">
        <v>0.99365367180417041</v>
      </c>
      <c r="N6" s="44">
        <v>0</v>
      </c>
      <c r="O6" s="44">
        <v>0</v>
      </c>
      <c r="P6" s="50">
        <v>2.0794415416798357</v>
      </c>
      <c r="Q6" s="50">
        <v>7.00033446027523</v>
      </c>
      <c r="R6" s="50">
        <v>0</v>
      </c>
      <c r="S6" s="50">
        <v>0</v>
      </c>
    </row>
    <row r="7" spans="1:19" x14ac:dyDescent="0.25">
      <c r="A7" s="44">
        <v>2009</v>
      </c>
      <c r="B7" s="44">
        <v>1</v>
      </c>
      <c r="C7" s="6">
        <v>-81.2988</v>
      </c>
      <c r="D7" s="44">
        <v>1</v>
      </c>
      <c r="E7" s="40">
        <v>22.555199278233623</v>
      </c>
      <c r="F7" s="1">
        <v>1</v>
      </c>
      <c r="G7" s="1">
        <v>18</v>
      </c>
      <c r="H7" s="44">
        <v>0.4</v>
      </c>
      <c r="I7" s="44">
        <v>73.8</v>
      </c>
      <c r="J7" s="44">
        <v>0</v>
      </c>
      <c r="K7" s="44">
        <v>0</v>
      </c>
      <c r="L7" s="44">
        <v>5.3908355795148251E-3</v>
      </c>
      <c r="M7" s="44">
        <v>0.99460916442048519</v>
      </c>
      <c r="N7" s="44">
        <v>0</v>
      </c>
      <c r="O7" s="44">
        <v>0</v>
      </c>
      <c r="P7" s="50">
        <v>1.6094379124341003</v>
      </c>
      <c r="Q7" s="50">
        <v>6.6052979209482015</v>
      </c>
      <c r="R7" s="50">
        <v>0</v>
      </c>
      <c r="S7" s="50">
        <v>0</v>
      </c>
    </row>
    <row r="8" spans="1:19" x14ac:dyDescent="0.25">
      <c r="A8" s="44">
        <v>2009</v>
      </c>
      <c r="B8" s="44">
        <v>1</v>
      </c>
      <c r="C8" s="6">
        <v>-81.243620000000007</v>
      </c>
      <c r="D8" s="44">
        <v>1</v>
      </c>
      <c r="E8" s="40">
        <v>22.555199278233623</v>
      </c>
      <c r="F8" s="1">
        <v>1</v>
      </c>
      <c r="G8" s="1">
        <v>16.763999463552018</v>
      </c>
      <c r="H8" s="44">
        <v>0.3</v>
      </c>
      <c r="I8" s="44">
        <v>123.2</v>
      </c>
      <c r="J8" s="44">
        <v>0</v>
      </c>
      <c r="K8" s="44">
        <v>0</v>
      </c>
      <c r="L8" s="44">
        <v>2.4291497975708503E-3</v>
      </c>
      <c r="M8" s="44">
        <v>0.99757085020242919</v>
      </c>
      <c r="N8" s="44">
        <v>0</v>
      </c>
      <c r="O8" s="44">
        <v>0</v>
      </c>
      <c r="P8" s="50">
        <v>1.3862943611198906</v>
      </c>
      <c r="Q8" s="50">
        <v>7.1172055031643442</v>
      </c>
      <c r="R8" s="50">
        <v>0</v>
      </c>
      <c r="S8" s="50">
        <v>0</v>
      </c>
    </row>
    <row r="9" spans="1:19" x14ac:dyDescent="0.25">
      <c r="A9" s="44">
        <v>2009</v>
      </c>
      <c r="B9" s="44">
        <v>0</v>
      </c>
      <c r="C9" s="6">
        <v>-81.547449999999998</v>
      </c>
      <c r="D9" s="44">
        <v>0</v>
      </c>
      <c r="E9" s="40">
        <v>11.582399629363213</v>
      </c>
      <c r="F9" s="1">
        <v>0</v>
      </c>
      <c r="G9" s="1">
        <v>7.6199997561600075</v>
      </c>
      <c r="H9" s="44">
        <v>8.6</v>
      </c>
      <c r="I9" s="44">
        <v>0</v>
      </c>
      <c r="J9" s="44">
        <v>3.1</v>
      </c>
      <c r="K9" s="44">
        <v>0</v>
      </c>
      <c r="L9" s="44">
        <v>0.7350427350427351</v>
      </c>
      <c r="M9" s="44">
        <v>0</v>
      </c>
      <c r="N9" s="44">
        <v>0.26495726495726496</v>
      </c>
      <c r="O9" s="44">
        <v>0</v>
      </c>
      <c r="P9" s="50">
        <v>4.4659081186545837</v>
      </c>
      <c r="Q9" s="50">
        <v>0</v>
      </c>
      <c r="R9" s="50">
        <v>3.4657359027997265</v>
      </c>
      <c r="S9" s="50">
        <v>0</v>
      </c>
    </row>
    <row r="10" spans="1:19" x14ac:dyDescent="0.25">
      <c r="A10" s="44">
        <v>2009</v>
      </c>
      <c r="B10" s="44">
        <v>0</v>
      </c>
      <c r="C10" s="6">
        <v>-81.615129999999994</v>
      </c>
      <c r="D10" s="44">
        <v>1</v>
      </c>
      <c r="E10" s="40">
        <v>21.945599297740824</v>
      </c>
      <c r="F10" s="1">
        <v>0</v>
      </c>
      <c r="G10" s="1">
        <v>7.6199997561600075</v>
      </c>
      <c r="H10" s="44">
        <v>3.1</v>
      </c>
      <c r="I10" s="44">
        <v>0.2</v>
      </c>
      <c r="J10" s="44">
        <v>0.1</v>
      </c>
      <c r="K10" s="44">
        <v>0</v>
      </c>
      <c r="L10" s="44">
        <v>0.91176470588235292</v>
      </c>
      <c r="M10" s="44">
        <v>5.8823529411764705E-2</v>
      </c>
      <c r="N10" s="44">
        <v>2.9411764705882353E-2</v>
      </c>
      <c r="O10" s="44">
        <v>0</v>
      </c>
      <c r="P10" s="50">
        <v>3.4657359027997265</v>
      </c>
      <c r="Q10" s="50">
        <v>1.0986122886681098</v>
      </c>
      <c r="R10" s="50">
        <v>0.69314718055994529</v>
      </c>
      <c r="S10" s="50">
        <v>0</v>
      </c>
    </row>
    <row r="11" spans="1:19" x14ac:dyDescent="0.25">
      <c r="A11" s="44">
        <v>2009</v>
      </c>
      <c r="B11" s="44">
        <v>0</v>
      </c>
      <c r="C11" s="6">
        <v>-82.219819999999999</v>
      </c>
      <c r="D11" s="44">
        <v>1</v>
      </c>
      <c r="E11" s="40">
        <v>19.811999366016021</v>
      </c>
      <c r="F11" s="1">
        <v>0</v>
      </c>
      <c r="G11" s="1">
        <v>12.191999609856012</v>
      </c>
      <c r="H11" s="44">
        <v>1.8</v>
      </c>
      <c r="I11" s="44">
        <v>92</v>
      </c>
      <c r="J11" s="44">
        <v>0.2</v>
      </c>
      <c r="K11" s="44">
        <v>0</v>
      </c>
      <c r="L11" s="44">
        <v>1.9128586609989374E-2</v>
      </c>
      <c r="M11" s="44">
        <v>0.97768331562167909</v>
      </c>
      <c r="N11" s="44">
        <v>2.1253985122210413E-3</v>
      </c>
      <c r="O11" s="44">
        <v>0</v>
      </c>
      <c r="P11" s="50">
        <v>2.9444389791664403</v>
      </c>
      <c r="Q11" s="50">
        <v>6.8254600362553068</v>
      </c>
      <c r="R11" s="50">
        <v>1.0986122886681098</v>
      </c>
      <c r="S11" s="50">
        <v>0</v>
      </c>
    </row>
    <row r="12" spans="1:19" x14ac:dyDescent="0.25">
      <c r="A12" s="44">
        <v>2009</v>
      </c>
      <c r="B12" s="44">
        <v>0</v>
      </c>
      <c r="C12" s="6">
        <v>-82.195819999999998</v>
      </c>
      <c r="D12" s="44">
        <v>1</v>
      </c>
      <c r="E12" s="40">
        <v>19.811999366016021</v>
      </c>
      <c r="F12" s="1">
        <v>0</v>
      </c>
      <c r="G12" s="1">
        <v>12.191999609856012</v>
      </c>
      <c r="H12" s="44">
        <v>5.5</v>
      </c>
      <c r="I12" s="44">
        <v>101.5</v>
      </c>
      <c r="J12" s="44">
        <v>0.4</v>
      </c>
      <c r="K12" s="44">
        <v>0</v>
      </c>
      <c r="L12" s="44">
        <v>5.1067780872794802E-2</v>
      </c>
      <c r="M12" s="44">
        <v>0.94243268337975861</v>
      </c>
      <c r="N12" s="44">
        <v>3.7140204271123491E-3</v>
      </c>
      <c r="O12" s="44">
        <v>0</v>
      </c>
      <c r="P12" s="50">
        <v>4.0253516907351496</v>
      </c>
      <c r="Q12" s="50">
        <v>6.9236286281384274</v>
      </c>
      <c r="R12" s="50">
        <v>1.6094379124341003</v>
      </c>
      <c r="S12" s="50">
        <v>0</v>
      </c>
    </row>
    <row r="13" spans="1:19" x14ac:dyDescent="0.25">
      <c r="A13" s="44">
        <v>2009</v>
      </c>
      <c r="B13" s="44">
        <v>0</v>
      </c>
      <c r="C13" s="6">
        <v>-82.148420000000002</v>
      </c>
      <c r="D13" s="44">
        <v>1</v>
      </c>
      <c r="E13" s="40">
        <v>19.811999366016021</v>
      </c>
      <c r="F13" s="21">
        <v>0</v>
      </c>
      <c r="G13" s="21">
        <v>12.191999609856012</v>
      </c>
      <c r="H13" s="44">
        <v>7.2</v>
      </c>
      <c r="I13" s="44">
        <v>17.8</v>
      </c>
      <c r="J13" s="44">
        <v>7.3</v>
      </c>
      <c r="K13" s="44">
        <v>0.1</v>
      </c>
      <c r="L13" s="44">
        <v>0.22018348623853212</v>
      </c>
      <c r="M13" s="44">
        <v>0.54434250764525993</v>
      </c>
      <c r="N13" s="44">
        <v>0.22324159021406728</v>
      </c>
      <c r="O13" s="44">
        <v>3.0581039755351682E-3</v>
      </c>
      <c r="P13" s="50">
        <v>4.290459441148391</v>
      </c>
      <c r="Q13" s="50">
        <v>5.1873858058407549</v>
      </c>
      <c r="R13" s="50">
        <v>4.3040650932041702</v>
      </c>
      <c r="S13" s="50">
        <v>0.69314718055994529</v>
      </c>
    </row>
    <row r="14" spans="1:19" x14ac:dyDescent="0.25">
      <c r="A14" s="44">
        <v>2009</v>
      </c>
      <c r="B14" s="44">
        <v>0</v>
      </c>
      <c r="C14" s="6">
        <v>-82.127970000000005</v>
      </c>
      <c r="D14" s="44">
        <v>1</v>
      </c>
      <c r="E14" s="40">
        <v>21.335999317248021</v>
      </c>
      <c r="F14" s="1">
        <v>1</v>
      </c>
      <c r="G14" s="1">
        <v>15.239999512320015</v>
      </c>
      <c r="H14" s="44">
        <v>1.8</v>
      </c>
      <c r="I14" s="44">
        <v>95.5</v>
      </c>
      <c r="J14" s="44">
        <v>6.9</v>
      </c>
      <c r="K14" s="44">
        <v>0</v>
      </c>
      <c r="L14" s="44">
        <v>1.7274472168905951E-2</v>
      </c>
      <c r="M14" s="44">
        <v>0.91650671785028792</v>
      </c>
      <c r="N14" s="44">
        <v>6.6218809980806148E-2</v>
      </c>
      <c r="O14" s="44">
        <v>0</v>
      </c>
      <c r="P14" s="50">
        <v>2.9444389791664403</v>
      </c>
      <c r="Q14" s="50">
        <v>6.8627579130514009</v>
      </c>
      <c r="R14" s="50">
        <v>4.2484952420493594</v>
      </c>
      <c r="S14" s="50">
        <v>0</v>
      </c>
    </row>
    <row r="15" spans="1:19" x14ac:dyDescent="0.25">
      <c r="A15" s="44">
        <v>2009</v>
      </c>
      <c r="B15" s="44">
        <v>0</v>
      </c>
      <c r="C15" s="6">
        <v>-82.105429999999998</v>
      </c>
      <c r="D15" s="44">
        <v>1</v>
      </c>
      <c r="E15" s="40">
        <v>21.335999317248021</v>
      </c>
      <c r="F15" s="1">
        <v>1</v>
      </c>
      <c r="G15" s="1">
        <v>15.239999512320015</v>
      </c>
      <c r="H15" s="44">
        <v>0.8</v>
      </c>
      <c r="I15" s="44">
        <v>122.7</v>
      </c>
      <c r="J15" s="44">
        <v>0.6</v>
      </c>
      <c r="K15" s="44">
        <v>0</v>
      </c>
      <c r="L15" s="44">
        <v>6.4464141821112004E-3</v>
      </c>
      <c r="M15" s="44">
        <v>0.98871877518130535</v>
      </c>
      <c r="N15" s="44">
        <v>4.8348106365834007E-3</v>
      </c>
      <c r="O15" s="44">
        <v>0</v>
      </c>
      <c r="P15" s="50">
        <v>2.1972245773362196</v>
      </c>
      <c r="Q15" s="50">
        <v>7.1131421087070876</v>
      </c>
      <c r="R15" s="50">
        <v>1.9459101490553132</v>
      </c>
      <c r="S15" s="50">
        <v>0</v>
      </c>
    </row>
    <row r="16" spans="1:19" x14ac:dyDescent="0.25">
      <c r="A16" s="44">
        <v>2009</v>
      </c>
      <c r="B16" s="44">
        <v>1</v>
      </c>
      <c r="C16" s="6">
        <v>-80.919499999999999</v>
      </c>
      <c r="D16" s="44">
        <v>1</v>
      </c>
      <c r="E16" s="8">
        <v>21.4</v>
      </c>
      <c r="F16" s="48">
        <v>1</v>
      </c>
      <c r="G16" s="48">
        <v>17</v>
      </c>
      <c r="H16" s="44">
        <v>0</v>
      </c>
      <c r="I16" s="44">
        <v>80.95</v>
      </c>
      <c r="J16" s="44">
        <v>0</v>
      </c>
      <c r="K16" s="44">
        <v>0</v>
      </c>
      <c r="L16" s="44">
        <v>0</v>
      </c>
      <c r="M16" s="44">
        <v>0.99325153374233133</v>
      </c>
      <c r="N16" s="44">
        <v>0</v>
      </c>
      <c r="O16" s="44">
        <v>0</v>
      </c>
      <c r="P16" s="50">
        <v>0</v>
      </c>
      <c r="Q16" s="50">
        <v>7.3901814282264295</v>
      </c>
      <c r="R16" s="50">
        <v>0</v>
      </c>
      <c r="S16" s="50">
        <v>0</v>
      </c>
    </row>
    <row r="17" spans="1:19" x14ac:dyDescent="0.25">
      <c r="A17" s="44">
        <v>2009</v>
      </c>
      <c r="B17" s="44">
        <v>1</v>
      </c>
      <c r="C17" s="6">
        <v>-80.922666666666672</v>
      </c>
      <c r="D17" s="44">
        <v>1</v>
      </c>
      <c r="E17" s="8">
        <v>20.9</v>
      </c>
      <c r="F17" s="48">
        <v>1</v>
      </c>
      <c r="G17" s="48">
        <v>17</v>
      </c>
      <c r="H17" s="44">
        <v>0</v>
      </c>
      <c r="I17" s="44">
        <v>2.5</v>
      </c>
      <c r="J17" s="44">
        <v>0</v>
      </c>
      <c r="K17" s="44">
        <v>0</v>
      </c>
      <c r="L17" s="44">
        <v>0</v>
      </c>
      <c r="M17" s="44">
        <v>0.96153846153846156</v>
      </c>
      <c r="N17" s="44">
        <v>0</v>
      </c>
      <c r="O17" s="44">
        <v>0</v>
      </c>
      <c r="P17" s="50">
        <v>0</v>
      </c>
      <c r="Q17" s="50">
        <v>3.9318256327243257</v>
      </c>
      <c r="R17" s="50">
        <v>0</v>
      </c>
      <c r="S17" s="50">
        <v>0</v>
      </c>
    </row>
    <row r="18" spans="1:19" x14ac:dyDescent="0.25">
      <c r="A18" s="44">
        <v>2009</v>
      </c>
      <c r="B18" s="44">
        <v>1</v>
      </c>
      <c r="C18" s="6">
        <v>-80.917333333333332</v>
      </c>
      <c r="D18" s="44">
        <v>1</v>
      </c>
      <c r="E18" s="8">
        <v>20.9</v>
      </c>
      <c r="F18" s="48">
        <v>1</v>
      </c>
      <c r="G18" s="48">
        <v>13</v>
      </c>
      <c r="H18" s="44">
        <v>0</v>
      </c>
      <c r="I18" s="44">
        <v>0.35</v>
      </c>
      <c r="J18" s="44">
        <v>0</v>
      </c>
      <c r="K18" s="44">
        <v>0</v>
      </c>
      <c r="L18" s="44">
        <v>0</v>
      </c>
      <c r="M18" s="44">
        <v>1</v>
      </c>
      <c r="N18" s="44">
        <v>0</v>
      </c>
      <c r="O18" s="44">
        <v>0</v>
      </c>
      <c r="P18" s="50">
        <v>0</v>
      </c>
      <c r="Q18" s="50">
        <v>2.0794415416798357</v>
      </c>
      <c r="R18" s="50">
        <v>0</v>
      </c>
      <c r="S18" s="50">
        <v>0</v>
      </c>
    </row>
    <row r="19" spans="1:19" x14ac:dyDescent="0.25">
      <c r="A19" s="44">
        <v>2009</v>
      </c>
      <c r="B19" s="44">
        <v>1</v>
      </c>
      <c r="C19" s="6">
        <v>-80.995833333333337</v>
      </c>
      <c r="D19" s="44">
        <v>0</v>
      </c>
      <c r="E19" s="8">
        <v>16.7</v>
      </c>
      <c r="F19" s="48">
        <v>0</v>
      </c>
      <c r="G19" s="48">
        <v>11</v>
      </c>
      <c r="H19" s="44">
        <v>0</v>
      </c>
      <c r="I19" s="44">
        <v>34.200000000000003</v>
      </c>
      <c r="J19" s="44">
        <v>0</v>
      </c>
      <c r="K19" s="44">
        <v>0</v>
      </c>
      <c r="L19" s="44">
        <v>0</v>
      </c>
      <c r="M19" s="44">
        <v>1</v>
      </c>
      <c r="N19" s="44">
        <v>0</v>
      </c>
      <c r="O19" s="44">
        <v>0</v>
      </c>
      <c r="P19" s="50">
        <v>0</v>
      </c>
      <c r="Q19" s="50">
        <v>6.5294188382622256</v>
      </c>
      <c r="R19" s="50">
        <v>0</v>
      </c>
      <c r="S19" s="50">
        <v>0</v>
      </c>
    </row>
    <row r="20" spans="1:19" x14ac:dyDescent="0.25">
      <c r="A20" s="44">
        <v>2009</v>
      </c>
      <c r="B20" s="44">
        <v>1</v>
      </c>
      <c r="C20" s="6">
        <v>-81.003166666666672</v>
      </c>
      <c r="D20" s="44">
        <v>0</v>
      </c>
      <c r="E20" s="8">
        <v>17.399999999999999</v>
      </c>
      <c r="F20" s="48">
        <v>0</v>
      </c>
      <c r="G20" s="48">
        <v>9</v>
      </c>
      <c r="H20" s="44">
        <v>0</v>
      </c>
      <c r="I20" s="44">
        <v>5.95</v>
      </c>
      <c r="J20" s="44">
        <v>0</v>
      </c>
      <c r="K20" s="44">
        <v>0</v>
      </c>
      <c r="L20" s="44">
        <v>0</v>
      </c>
      <c r="M20" s="44">
        <v>1</v>
      </c>
      <c r="N20" s="44">
        <v>0</v>
      </c>
      <c r="O20" s="44">
        <v>0</v>
      </c>
      <c r="P20" s="50">
        <v>0</v>
      </c>
      <c r="Q20" s="50">
        <v>4.7874917427820458</v>
      </c>
      <c r="R20" s="50">
        <v>0</v>
      </c>
      <c r="S20" s="50">
        <v>0</v>
      </c>
    </row>
    <row r="21" spans="1:19" x14ac:dyDescent="0.25">
      <c r="A21" s="44">
        <v>2009</v>
      </c>
      <c r="B21" s="44">
        <v>1</v>
      </c>
      <c r="C21" s="6">
        <v>-81.005833333333328</v>
      </c>
      <c r="D21" s="44">
        <v>0</v>
      </c>
      <c r="E21" s="8">
        <v>17.5</v>
      </c>
      <c r="F21" s="48">
        <v>0</v>
      </c>
      <c r="G21" s="48">
        <v>7</v>
      </c>
      <c r="H21" s="44">
        <v>0</v>
      </c>
      <c r="I21" s="44">
        <v>26.25</v>
      </c>
      <c r="J21" s="44">
        <v>0</v>
      </c>
      <c r="K21" s="44">
        <v>0</v>
      </c>
      <c r="L21" s="44">
        <v>0</v>
      </c>
      <c r="M21" s="44">
        <v>1</v>
      </c>
      <c r="N21" s="44">
        <v>0</v>
      </c>
      <c r="O21" s="44">
        <v>0</v>
      </c>
      <c r="P21" s="50">
        <v>0</v>
      </c>
      <c r="Q21" s="50">
        <v>6.2653012127377101</v>
      </c>
      <c r="R21" s="50">
        <v>0</v>
      </c>
      <c r="S21" s="50">
        <v>0</v>
      </c>
    </row>
    <row r="22" spans="1:19" x14ac:dyDescent="0.25">
      <c r="A22" s="44">
        <v>2009</v>
      </c>
      <c r="B22" s="44">
        <v>1</v>
      </c>
      <c r="C22" s="6">
        <v>-81.013333333333335</v>
      </c>
      <c r="D22" s="44">
        <v>0</v>
      </c>
      <c r="E22" s="8">
        <v>11.7</v>
      </c>
      <c r="F22" s="48">
        <v>0</v>
      </c>
      <c r="G22" s="48">
        <v>7</v>
      </c>
      <c r="H22" s="44">
        <v>0</v>
      </c>
      <c r="I22" s="44">
        <v>3</v>
      </c>
      <c r="J22" s="44">
        <v>0</v>
      </c>
      <c r="K22" s="44">
        <v>0</v>
      </c>
      <c r="L22" s="44">
        <v>0</v>
      </c>
      <c r="M22" s="44">
        <v>1</v>
      </c>
      <c r="N22" s="44">
        <v>0</v>
      </c>
      <c r="O22" s="44">
        <v>0</v>
      </c>
      <c r="P22" s="50">
        <v>0</v>
      </c>
      <c r="Q22" s="50">
        <v>4.1108738641733114</v>
      </c>
      <c r="R22" s="50">
        <v>0</v>
      </c>
      <c r="S22" s="50">
        <v>0</v>
      </c>
    </row>
    <row r="23" spans="1:19" x14ac:dyDescent="0.25">
      <c r="A23" s="44">
        <v>2009</v>
      </c>
      <c r="B23" s="44">
        <v>1</v>
      </c>
      <c r="C23" s="6">
        <v>-81.464333333333329</v>
      </c>
      <c r="D23" s="44">
        <v>0</v>
      </c>
      <c r="E23" s="8">
        <v>13.1</v>
      </c>
      <c r="F23" s="48">
        <v>0</v>
      </c>
      <c r="G23" s="48">
        <v>8</v>
      </c>
      <c r="H23" s="44">
        <v>0</v>
      </c>
      <c r="I23" s="44">
        <v>13.7</v>
      </c>
      <c r="J23" s="44">
        <v>0.15</v>
      </c>
      <c r="K23" s="44">
        <v>0</v>
      </c>
      <c r="L23" s="44">
        <v>0</v>
      </c>
      <c r="M23" s="44">
        <v>0.98916967509025266</v>
      </c>
      <c r="N23" s="44">
        <v>1.0830324909747292E-2</v>
      </c>
      <c r="O23" s="44">
        <v>0</v>
      </c>
      <c r="P23" s="50">
        <v>0</v>
      </c>
      <c r="Q23" s="50">
        <v>5.6167710976665717</v>
      </c>
      <c r="R23" s="50">
        <v>1.3862943611198906</v>
      </c>
      <c r="S23" s="50">
        <v>0</v>
      </c>
    </row>
    <row r="24" spans="1:19" x14ac:dyDescent="0.25">
      <c r="A24" s="44">
        <v>2009</v>
      </c>
      <c r="B24" s="44">
        <v>1</v>
      </c>
      <c r="C24" s="6">
        <v>-81.460999999999999</v>
      </c>
      <c r="D24" s="44">
        <v>0</v>
      </c>
      <c r="E24" s="8">
        <v>13.7</v>
      </c>
      <c r="F24" s="48">
        <v>0</v>
      </c>
      <c r="G24" s="48">
        <v>6</v>
      </c>
      <c r="H24" s="44">
        <v>0.05</v>
      </c>
      <c r="I24" s="44">
        <v>4.9000000000000004</v>
      </c>
      <c r="J24" s="44">
        <v>1.55</v>
      </c>
      <c r="K24" s="44">
        <v>0.05</v>
      </c>
      <c r="L24" s="44">
        <v>7.6335877862595417E-3</v>
      </c>
      <c r="M24" s="44">
        <v>0.74809160305343514</v>
      </c>
      <c r="N24" s="44">
        <v>0.23664122137404581</v>
      </c>
      <c r="O24" s="44">
        <v>7.6335877862595417E-3</v>
      </c>
      <c r="P24" s="50">
        <v>0.69314718055994529</v>
      </c>
      <c r="Q24" s="50">
        <v>4.5951198501345898</v>
      </c>
      <c r="R24" s="50">
        <v>3.4657359027997265</v>
      </c>
      <c r="S24" s="50">
        <v>0.69314718055994529</v>
      </c>
    </row>
    <row r="25" spans="1:19" x14ac:dyDescent="0.25">
      <c r="A25" s="44">
        <v>2009</v>
      </c>
      <c r="B25" s="44">
        <v>1</v>
      </c>
      <c r="C25" s="6">
        <v>-81.439166666666665</v>
      </c>
      <c r="D25" s="44">
        <v>0</v>
      </c>
      <c r="E25" s="8">
        <v>18.100000000000001</v>
      </c>
      <c r="F25" s="48">
        <v>1</v>
      </c>
      <c r="G25" s="48">
        <v>14</v>
      </c>
      <c r="H25" s="44">
        <v>0.05</v>
      </c>
      <c r="I25" s="44">
        <v>139.30000000000001</v>
      </c>
      <c r="J25" s="44">
        <v>0.05</v>
      </c>
      <c r="K25" s="44">
        <v>0</v>
      </c>
      <c r="L25" s="44">
        <v>3.5829451809387314E-4</v>
      </c>
      <c r="M25" s="44">
        <v>0.99820852740953059</v>
      </c>
      <c r="N25" s="44">
        <v>3.5829451809387314E-4</v>
      </c>
      <c r="O25" s="44">
        <v>0</v>
      </c>
      <c r="P25" s="50">
        <v>0.69314718055994529</v>
      </c>
      <c r="Q25" s="50">
        <v>7.9327210274819482</v>
      </c>
      <c r="R25" s="50">
        <v>0.69314718055994529</v>
      </c>
      <c r="S25" s="50">
        <v>0</v>
      </c>
    </row>
    <row r="26" spans="1:19" x14ac:dyDescent="0.25">
      <c r="A26" s="44">
        <v>2009</v>
      </c>
      <c r="B26" s="44">
        <v>1</v>
      </c>
      <c r="C26" s="6">
        <v>-81.44083333333333</v>
      </c>
      <c r="D26" s="44">
        <v>0</v>
      </c>
      <c r="E26" s="8">
        <v>18.3</v>
      </c>
      <c r="F26" s="48">
        <v>0</v>
      </c>
      <c r="G26" s="48">
        <v>10</v>
      </c>
      <c r="H26" s="44">
        <v>0</v>
      </c>
      <c r="I26" s="44">
        <v>0</v>
      </c>
      <c r="J26" s="44">
        <v>0.05</v>
      </c>
      <c r="K26" s="44">
        <v>0</v>
      </c>
      <c r="L26" s="44">
        <v>0</v>
      </c>
      <c r="M26" s="44">
        <v>0</v>
      </c>
      <c r="N26" s="44">
        <v>0.5</v>
      </c>
      <c r="O26" s="44">
        <v>0</v>
      </c>
      <c r="P26" s="50">
        <v>0</v>
      </c>
      <c r="Q26" s="50">
        <v>0</v>
      </c>
      <c r="R26" s="50">
        <v>0.69314718055994529</v>
      </c>
      <c r="S26" s="50">
        <v>0</v>
      </c>
    </row>
    <row r="27" spans="1:19" x14ac:dyDescent="0.25">
      <c r="A27" s="44">
        <v>2009</v>
      </c>
      <c r="B27" s="44">
        <v>1</v>
      </c>
      <c r="C27" s="6">
        <v>-81.429500000000004</v>
      </c>
      <c r="D27" s="44">
        <v>0</v>
      </c>
      <c r="E27" s="8">
        <v>17.3</v>
      </c>
      <c r="F27" s="48">
        <v>0</v>
      </c>
      <c r="G27" s="48">
        <v>5</v>
      </c>
      <c r="H27" s="44">
        <v>0</v>
      </c>
      <c r="I27" s="44">
        <v>0</v>
      </c>
      <c r="J27" s="44">
        <v>0.1</v>
      </c>
      <c r="K27" s="44">
        <v>0</v>
      </c>
      <c r="L27" s="44">
        <v>0</v>
      </c>
      <c r="M27" s="44">
        <v>0</v>
      </c>
      <c r="N27" s="44">
        <v>1</v>
      </c>
      <c r="O27" s="44">
        <v>0</v>
      </c>
      <c r="P27" s="50">
        <v>0</v>
      </c>
      <c r="Q27" s="50">
        <v>0</v>
      </c>
      <c r="R27" s="50">
        <v>1.0986122886681098</v>
      </c>
      <c r="S27" s="50">
        <v>0</v>
      </c>
    </row>
    <row r="28" spans="1:19" x14ac:dyDescent="0.25">
      <c r="A28" s="44">
        <v>2009</v>
      </c>
      <c r="B28" s="44">
        <v>1</v>
      </c>
      <c r="C28" s="6">
        <v>-81.37</v>
      </c>
      <c r="D28" s="44">
        <v>1</v>
      </c>
      <c r="E28" s="8">
        <v>22.3</v>
      </c>
      <c r="F28" s="48">
        <v>1</v>
      </c>
      <c r="G28" s="48">
        <v>16</v>
      </c>
      <c r="H28" s="44">
        <v>0.05</v>
      </c>
      <c r="I28" s="44">
        <v>20.3</v>
      </c>
      <c r="J28" s="44">
        <v>0</v>
      </c>
      <c r="K28" s="44">
        <v>0</v>
      </c>
      <c r="L28" s="44">
        <v>2.4390243902439024E-3</v>
      </c>
      <c r="M28" s="44">
        <v>0.99024390243902438</v>
      </c>
      <c r="N28" s="44">
        <v>0</v>
      </c>
      <c r="O28" s="44">
        <v>0</v>
      </c>
      <c r="P28" s="50">
        <v>0.69314718055994529</v>
      </c>
      <c r="Q28" s="50">
        <v>6.0088131854425946</v>
      </c>
      <c r="R28" s="50">
        <v>0</v>
      </c>
      <c r="S28" s="50">
        <v>0</v>
      </c>
    </row>
    <row r="29" spans="1:19" x14ac:dyDescent="0.25">
      <c r="A29" s="44">
        <v>2009</v>
      </c>
      <c r="B29" s="44">
        <v>1</v>
      </c>
      <c r="C29" s="6">
        <v>-81.382166666666663</v>
      </c>
      <c r="D29" s="44">
        <v>1</v>
      </c>
      <c r="E29" s="8">
        <v>22.3</v>
      </c>
      <c r="F29" s="48">
        <v>1</v>
      </c>
      <c r="G29" s="48">
        <v>17</v>
      </c>
      <c r="H29" s="44">
        <v>0.15</v>
      </c>
      <c r="I29" s="44">
        <v>45.4</v>
      </c>
      <c r="J29" s="44">
        <v>0</v>
      </c>
      <c r="K29" s="44">
        <v>0</v>
      </c>
      <c r="L29" s="44">
        <v>3.2858707557502738E-3</v>
      </c>
      <c r="M29" s="44">
        <v>0.99452354874041626</v>
      </c>
      <c r="N29" s="44">
        <v>0</v>
      </c>
      <c r="O29" s="44">
        <v>0</v>
      </c>
      <c r="P29" s="50">
        <v>1.3862943611198906</v>
      </c>
      <c r="Q29" s="50">
        <v>6.8123450941774788</v>
      </c>
      <c r="R29" s="50">
        <v>0</v>
      </c>
      <c r="S29" s="50">
        <v>0</v>
      </c>
    </row>
    <row r="30" spans="1:19" x14ac:dyDescent="0.25">
      <c r="A30" s="44">
        <v>2009</v>
      </c>
      <c r="B30" s="44">
        <v>1</v>
      </c>
      <c r="C30" s="6">
        <v>-81.378500000000003</v>
      </c>
      <c r="D30" s="44">
        <v>1</v>
      </c>
      <c r="E30" s="8">
        <v>22.5</v>
      </c>
      <c r="F30" s="48">
        <v>0</v>
      </c>
      <c r="G30" s="48">
        <v>5</v>
      </c>
      <c r="H30" s="44">
        <v>3.2</v>
      </c>
      <c r="I30" s="44">
        <v>0.15</v>
      </c>
      <c r="J30" s="44">
        <v>0</v>
      </c>
      <c r="K30" s="44">
        <v>0</v>
      </c>
      <c r="L30" s="44">
        <v>0.95522388059701491</v>
      </c>
      <c r="M30" s="44">
        <v>4.4776119402985072E-2</v>
      </c>
      <c r="N30" s="44">
        <v>0</v>
      </c>
      <c r="O30" s="44">
        <v>0</v>
      </c>
      <c r="P30" s="50">
        <v>4.1743872698956368</v>
      </c>
      <c r="Q30" s="50">
        <v>1.3862943611198906</v>
      </c>
      <c r="R30" s="50">
        <v>0</v>
      </c>
      <c r="S30" s="50">
        <v>0</v>
      </c>
    </row>
    <row r="31" spans="1:19" x14ac:dyDescent="0.25">
      <c r="A31" s="44">
        <v>2009</v>
      </c>
      <c r="B31" s="44">
        <v>0</v>
      </c>
      <c r="C31" s="6">
        <v>-82.263000000000005</v>
      </c>
      <c r="D31" s="44">
        <v>0</v>
      </c>
      <c r="E31" s="8">
        <v>13.2</v>
      </c>
      <c r="F31" s="48">
        <v>0</v>
      </c>
      <c r="G31" s="48">
        <v>6</v>
      </c>
      <c r="H31" s="44">
        <v>0</v>
      </c>
      <c r="I31" s="44">
        <v>111.9</v>
      </c>
      <c r="J31" s="44">
        <v>0.1</v>
      </c>
      <c r="K31" s="44">
        <v>0</v>
      </c>
      <c r="L31" s="44">
        <v>0</v>
      </c>
      <c r="M31" s="44">
        <v>0.99910714285714286</v>
      </c>
      <c r="N31" s="44">
        <v>8.9285714285714283E-4</v>
      </c>
      <c r="O31" s="44">
        <v>0</v>
      </c>
      <c r="P31" s="50">
        <v>0</v>
      </c>
      <c r="Q31" s="50">
        <v>7.7137846165987547</v>
      </c>
      <c r="R31" s="50">
        <v>1.0986122886681098</v>
      </c>
      <c r="S31" s="50">
        <v>0</v>
      </c>
    </row>
    <row r="32" spans="1:19" x14ac:dyDescent="0.25">
      <c r="A32" s="44">
        <v>2009</v>
      </c>
      <c r="B32" s="44">
        <v>0</v>
      </c>
      <c r="C32" s="6">
        <v>-82.25366666666666</v>
      </c>
      <c r="D32" s="44">
        <v>0</v>
      </c>
      <c r="E32" s="8">
        <v>14.4</v>
      </c>
      <c r="F32" s="48">
        <v>0</v>
      </c>
      <c r="G32" s="48">
        <v>12</v>
      </c>
      <c r="H32" s="44">
        <v>0.11764705882352941</v>
      </c>
      <c r="I32" s="44">
        <v>54.058823529411768</v>
      </c>
      <c r="J32" s="44">
        <v>0.35294117647058826</v>
      </c>
      <c r="K32" s="44">
        <v>0</v>
      </c>
      <c r="L32" s="44">
        <v>2.1574973031283709E-3</v>
      </c>
      <c r="M32" s="44">
        <v>0.99137001078748654</v>
      </c>
      <c r="N32" s="44">
        <v>6.4724919093851136E-3</v>
      </c>
      <c r="O32" s="44">
        <v>0</v>
      </c>
      <c r="P32" s="50">
        <v>1.0986122886681098</v>
      </c>
      <c r="Q32" s="50">
        <v>6.8243736700430864</v>
      </c>
      <c r="R32" s="50">
        <v>1.9459101490553132</v>
      </c>
      <c r="S32" s="50">
        <v>0</v>
      </c>
    </row>
    <row r="33" spans="1:19" x14ac:dyDescent="0.25">
      <c r="A33" s="44">
        <v>2009</v>
      </c>
      <c r="B33" s="44">
        <v>0</v>
      </c>
      <c r="C33" s="6">
        <v>-82.228999999999999</v>
      </c>
      <c r="D33" s="44">
        <v>1</v>
      </c>
      <c r="E33" s="8">
        <v>21.5</v>
      </c>
      <c r="F33" s="48">
        <v>0</v>
      </c>
      <c r="G33" s="48">
        <v>7</v>
      </c>
      <c r="H33" s="44">
        <v>0.1</v>
      </c>
      <c r="I33" s="44">
        <v>0.05</v>
      </c>
      <c r="J33" s="44">
        <v>62.95</v>
      </c>
      <c r="K33" s="44">
        <v>0</v>
      </c>
      <c r="L33" s="44">
        <v>1.5760441292356187E-3</v>
      </c>
      <c r="M33" s="44">
        <v>7.8802206461780935E-4</v>
      </c>
      <c r="N33" s="44">
        <v>0.9921197793538219</v>
      </c>
      <c r="O33" s="44">
        <v>0</v>
      </c>
      <c r="P33" s="50">
        <v>1.0986122886681098</v>
      </c>
      <c r="Q33" s="50">
        <v>0.69314718055994529</v>
      </c>
      <c r="R33" s="50">
        <v>7.1388669999455239</v>
      </c>
      <c r="S33" s="50">
        <v>0</v>
      </c>
    </row>
    <row r="34" spans="1:19" x14ac:dyDescent="0.25">
      <c r="A34" s="44">
        <v>2009</v>
      </c>
      <c r="B34" s="44">
        <v>0</v>
      </c>
      <c r="C34" s="6">
        <v>-82.222166666666666</v>
      </c>
      <c r="D34" s="44">
        <v>1</v>
      </c>
      <c r="E34" s="8">
        <v>21.4</v>
      </c>
      <c r="F34" s="48">
        <v>0</v>
      </c>
      <c r="G34" s="48">
        <v>12</v>
      </c>
      <c r="H34" s="44">
        <v>0.15</v>
      </c>
      <c r="I34" s="44">
        <v>0.95</v>
      </c>
      <c r="J34" s="44">
        <v>21.35</v>
      </c>
      <c r="K34" s="44">
        <v>0</v>
      </c>
      <c r="L34" s="44">
        <v>6.0483870967741934E-3</v>
      </c>
      <c r="M34" s="44">
        <v>3.8306451612903226E-2</v>
      </c>
      <c r="N34" s="44">
        <v>0.86088709677419351</v>
      </c>
      <c r="O34" s="44">
        <v>0</v>
      </c>
      <c r="P34" s="50">
        <v>1.3862943611198906</v>
      </c>
      <c r="Q34" s="50">
        <v>2.9957322735539909</v>
      </c>
      <c r="R34" s="50">
        <v>6.0591231955817966</v>
      </c>
      <c r="S34" s="50">
        <v>0</v>
      </c>
    </row>
    <row r="35" spans="1:19" x14ac:dyDescent="0.25">
      <c r="A35" s="44">
        <v>2009</v>
      </c>
      <c r="B35" s="44">
        <v>0</v>
      </c>
      <c r="C35" s="6">
        <v>-82.219833333333327</v>
      </c>
      <c r="D35" s="44">
        <v>1</v>
      </c>
      <c r="E35" s="8">
        <v>20.8</v>
      </c>
      <c r="F35" s="48">
        <v>1</v>
      </c>
      <c r="G35" s="48">
        <v>16</v>
      </c>
      <c r="H35" s="44">
        <v>0</v>
      </c>
      <c r="I35" s="44">
        <v>12.75</v>
      </c>
      <c r="J35" s="44">
        <v>2.85</v>
      </c>
      <c r="K35" s="44">
        <v>0</v>
      </c>
      <c r="L35" s="44">
        <v>0</v>
      </c>
      <c r="M35" s="44">
        <v>0.81469648562300323</v>
      </c>
      <c r="N35" s="44">
        <v>0.18210862619808307</v>
      </c>
      <c r="O35" s="44">
        <v>0</v>
      </c>
      <c r="P35" s="50">
        <v>0</v>
      </c>
      <c r="Q35" s="50">
        <v>5.5451774444795623</v>
      </c>
      <c r="R35" s="50">
        <v>4.0604430105464191</v>
      </c>
      <c r="S35" s="50">
        <v>0</v>
      </c>
    </row>
    <row r="36" spans="1:19" x14ac:dyDescent="0.25">
      <c r="A36" s="44">
        <v>2009</v>
      </c>
      <c r="B36" s="44">
        <v>0</v>
      </c>
      <c r="C36" s="6">
        <v>-82.132499999999993</v>
      </c>
      <c r="D36" s="44">
        <v>1</v>
      </c>
      <c r="E36" s="8">
        <v>21.7</v>
      </c>
      <c r="F36" s="48">
        <v>1</v>
      </c>
      <c r="G36" s="48">
        <v>19</v>
      </c>
      <c r="H36" s="44">
        <v>0</v>
      </c>
      <c r="I36" s="44">
        <v>127.75</v>
      </c>
      <c r="J36" s="44">
        <v>3.3</v>
      </c>
      <c r="K36" s="44">
        <v>0</v>
      </c>
      <c r="L36" s="44">
        <v>0</v>
      </c>
      <c r="M36" s="44">
        <v>0.9740754860846359</v>
      </c>
      <c r="N36" s="44">
        <v>2.5162028211971027E-2</v>
      </c>
      <c r="O36" s="44">
        <v>0</v>
      </c>
      <c r="P36" s="50">
        <v>0</v>
      </c>
      <c r="Q36" s="50">
        <v>7.8461988154974254</v>
      </c>
      <c r="R36" s="50">
        <v>4.2046926193909657</v>
      </c>
      <c r="S36" s="50">
        <v>0</v>
      </c>
    </row>
    <row r="37" spans="1:19" x14ac:dyDescent="0.25">
      <c r="A37" s="44">
        <v>2009</v>
      </c>
      <c r="B37" s="44">
        <v>0</v>
      </c>
      <c r="C37" s="6">
        <v>-82.129666666666665</v>
      </c>
      <c r="D37" s="44">
        <v>1</v>
      </c>
      <c r="E37" s="8">
        <v>21.8</v>
      </c>
      <c r="F37" s="48">
        <v>0</v>
      </c>
      <c r="G37" s="48">
        <v>10</v>
      </c>
      <c r="H37" s="44">
        <v>0</v>
      </c>
      <c r="I37" s="44">
        <v>0.4</v>
      </c>
      <c r="J37" s="44">
        <v>8.6</v>
      </c>
      <c r="K37" s="44">
        <v>0</v>
      </c>
      <c r="L37" s="44">
        <v>0</v>
      </c>
      <c r="M37" s="44">
        <v>4.3956043956043959E-2</v>
      </c>
      <c r="N37" s="44">
        <v>0.94505494505494503</v>
      </c>
      <c r="O37" s="44">
        <v>0</v>
      </c>
      <c r="P37" s="50">
        <v>0</v>
      </c>
      <c r="Q37" s="50">
        <v>1.6094379124341003</v>
      </c>
      <c r="R37" s="50">
        <v>4.4659081186545837</v>
      </c>
      <c r="S37" s="50">
        <v>0</v>
      </c>
    </row>
    <row r="38" spans="1:19" x14ac:dyDescent="0.25">
      <c r="A38" s="44">
        <v>2009</v>
      </c>
      <c r="B38" s="44">
        <v>0</v>
      </c>
      <c r="C38" s="6">
        <v>-82.143666666666661</v>
      </c>
      <c r="D38" s="44">
        <v>1</v>
      </c>
      <c r="E38" s="8">
        <v>21.6</v>
      </c>
      <c r="F38" s="48">
        <v>0</v>
      </c>
      <c r="G38" s="48">
        <v>6</v>
      </c>
      <c r="H38" s="44">
        <v>0</v>
      </c>
      <c r="I38" s="44">
        <v>0.2</v>
      </c>
      <c r="J38" s="44">
        <v>8.25</v>
      </c>
      <c r="K38" s="44">
        <v>0</v>
      </c>
      <c r="L38" s="44">
        <v>0</v>
      </c>
      <c r="M38" s="44">
        <v>2.3529411764705882E-2</v>
      </c>
      <c r="N38" s="44">
        <v>0.97058823529411764</v>
      </c>
      <c r="O38" s="44">
        <v>0</v>
      </c>
      <c r="P38" s="50">
        <v>0</v>
      </c>
      <c r="Q38" s="50">
        <v>1.6094379124341003</v>
      </c>
      <c r="R38" s="50">
        <v>5.1119877883565437</v>
      </c>
      <c r="S38" s="50">
        <v>0</v>
      </c>
    </row>
    <row r="39" spans="1:19" x14ac:dyDescent="0.25">
      <c r="A39" s="44">
        <v>2010</v>
      </c>
      <c r="B39" s="44">
        <v>1</v>
      </c>
      <c r="C39" s="13">
        <v>-80.917166666666674</v>
      </c>
      <c r="D39" s="44">
        <v>1</v>
      </c>
      <c r="E39" s="44">
        <v>20.7</v>
      </c>
      <c r="F39" s="1">
        <v>1</v>
      </c>
      <c r="G39" s="1">
        <v>16</v>
      </c>
      <c r="H39" s="44">
        <v>0.05</v>
      </c>
      <c r="I39" s="44">
        <v>0.05</v>
      </c>
      <c r="J39" s="44">
        <v>0.05</v>
      </c>
      <c r="K39" s="44">
        <v>0.05</v>
      </c>
      <c r="L39" s="44">
        <v>0.1</v>
      </c>
      <c r="M39" s="44">
        <v>0.1</v>
      </c>
      <c r="N39" s="44">
        <v>0.1</v>
      </c>
      <c r="O39" s="44">
        <v>0.1</v>
      </c>
      <c r="P39" s="50">
        <v>0.69314718055994529</v>
      </c>
      <c r="Q39" s="50">
        <v>0.69314718055994529</v>
      </c>
      <c r="R39" s="50">
        <v>0.69314718055994529</v>
      </c>
      <c r="S39" s="50">
        <v>0.69314718055994529</v>
      </c>
    </row>
    <row r="40" spans="1:19" x14ac:dyDescent="0.25">
      <c r="A40" s="44">
        <v>2010</v>
      </c>
      <c r="B40" s="44">
        <v>1</v>
      </c>
      <c r="C40" s="6">
        <v>-80.924833333333353</v>
      </c>
      <c r="D40" s="44">
        <v>1</v>
      </c>
      <c r="E40" s="44">
        <v>20.7</v>
      </c>
      <c r="F40" s="47">
        <v>1</v>
      </c>
      <c r="G40" s="21">
        <v>19</v>
      </c>
      <c r="H40" s="44">
        <v>0.1</v>
      </c>
      <c r="I40" s="44">
        <v>0.8</v>
      </c>
      <c r="J40" s="44">
        <v>0</v>
      </c>
      <c r="K40" s="44">
        <v>0.05</v>
      </c>
      <c r="L40" s="44">
        <v>5.8309037900874635E-3</v>
      </c>
      <c r="M40" s="44">
        <v>4.6647230320699708E-2</v>
      </c>
      <c r="N40" s="44">
        <v>0</v>
      </c>
      <c r="O40" s="44">
        <v>2.9154518950437317E-3</v>
      </c>
      <c r="P40" s="50">
        <v>1.0986122886681098</v>
      </c>
      <c r="Q40" s="50">
        <v>2.8332133440562162</v>
      </c>
      <c r="R40" s="50">
        <v>0</v>
      </c>
      <c r="S40" s="50">
        <v>0.69314718055994529</v>
      </c>
    </row>
    <row r="41" spans="1:19" x14ac:dyDescent="0.25">
      <c r="A41" s="44">
        <v>2010</v>
      </c>
      <c r="B41" s="44">
        <v>1</v>
      </c>
      <c r="C41" s="6">
        <v>-80.918999999999997</v>
      </c>
      <c r="D41" s="44">
        <v>1</v>
      </c>
      <c r="E41" s="44">
        <v>20.6</v>
      </c>
      <c r="F41" s="21">
        <v>1</v>
      </c>
      <c r="G41" s="21">
        <v>17</v>
      </c>
      <c r="H41" s="44">
        <v>0.05</v>
      </c>
      <c r="I41" s="44">
        <v>0.05</v>
      </c>
      <c r="J41" s="44">
        <v>0</v>
      </c>
      <c r="K41" s="44">
        <v>0</v>
      </c>
      <c r="L41" s="44">
        <v>0.14285714285714285</v>
      </c>
      <c r="M41" s="44">
        <v>0.14285714285714285</v>
      </c>
      <c r="N41" s="44">
        <v>0</v>
      </c>
      <c r="O41" s="44">
        <v>0</v>
      </c>
      <c r="P41" s="50">
        <v>0.69314718055994529</v>
      </c>
      <c r="Q41" s="50">
        <v>0.69314718055994529</v>
      </c>
      <c r="R41" s="50">
        <v>0</v>
      </c>
      <c r="S41" s="50">
        <v>0</v>
      </c>
    </row>
    <row r="42" spans="1:19" x14ac:dyDescent="0.25">
      <c r="A42" s="44">
        <v>2010</v>
      </c>
      <c r="B42" s="44">
        <v>1</v>
      </c>
      <c r="C42" s="6">
        <v>-80.924999999999997</v>
      </c>
      <c r="D42" s="44">
        <v>1</v>
      </c>
      <c r="E42" s="44">
        <v>20.7</v>
      </c>
      <c r="F42" s="47">
        <v>0</v>
      </c>
      <c r="G42" s="21">
        <v>6</v>
      </c>
      <c r="H42" s="44">
        <v>0.15</v>
      </c>
      <c r="I42" s="44">
        <v>0</v>
      </c>
      <c r="J42" s="44">
        <v>0.05</v>
      </c>
      <c r="K42" s="44">
        <v>0</v>
      </c>
      <c r="L42" s="44">
        <v>0.75</v>
      </c>
      <c r="M42" s="44">
        <v>0</v>
      </c>
      <c r="N42" s="44">
        <v>0.25</v>
      </c>
      <c r="O42" s="44">
        <v>0</v>
      </c>
      <c r="P42" s="50">
        <v>1.3862943611198906</v>
      </c>
      <c r="Q42" s="50">
        <v>0</v>
      </c>
      <c r="R42" s="50">
        <v>0.69314718055994529</v>
      </c>
      <c r="S42" s="50">
        <v>0</v>
      </c>
    </row>
    <row r="43" spans="1:19" x14ac:dyDescent="0.25">
      <c r="A43" s="44">
        <v>2010</v>
      </c>
      <c r="B43" s="44">
        <v>1</v>
      </c>
      <c r="C43" s="6">
        <v>-80.991</v>
      </c>
      <c r="D43" s="44">
        <v>0</v>
      </c>
      <c r="E43" s="44">
        <v>17</v>
      </c>
      <c r="F43" s="21">
        <v>0</v>
      </c>
      <c r="G43" s="21">
        <v>10</v>
      </c>
      <c r="H43" s="44">
        <v>0</v>
      </c>
      <c r="I43" s="44">
        <v>0.7</v>
      </c>
      <c r="J43" s="44">
        <v>0.7</v>
      </c>
      <c r="K43" s="44">
        <v>0</v>
      </c>
      <c r="L43" s="44">
        <v>0</v>
      </c>
      <c r="M43" s="44">
        <v>0.48275862068965519</v>
      </c>
      <c r="N43" s="44">
        <v>0.48275862068965519</v>
      </c>
      <c r="O43" s="44">
        <v>0</v>
      </c>
      <c r="P43" s="50">
        <v>0</v>
      </c>
      <c r="Q43" s="50">
        <v>2.7080502011022101</v>
      </c>
      <c r="R43" s="50">
        <v>2.7080502011022101</v>
      </c>
      <c r="S43" s="50">
        <v>0</v>
      </c>
    </row>
    <row r="44" spans="1:19" x14ac:dyDescent="0.25">
      <c r="A44" s="44">
        <v>2010</v>
      </c>
      <c r="B44" s="44">
        <v>1</v>
      </c>
      <c r="C44" s="6">
        <v>-80.984666666666669</v>
      </c>
      <c r="D44" s="44">
        <v>0</v>
      </c>
      <c r="E44" s="44">
        <v>17</v>
      </c>
      <c r="F44" s="47">
        <v>0</v>
      </c>
      <c r="G44" s="21">
        <v>7</v>
      </c>
      <c r="H44" s="44">
        <v>0</v>
      </c>
      <c r="I44" s="44">
        <v>0.05</v>
      </c>
      <c r="J44" s="44">
        <v>0.55000000000000004</v>
      </c>
      <c r="K44" s="44">
        <v>0</v>
      </c>
      <c r="L44" s="44">
        <v>0</v>
      </c>
      <c r="M44" s="44">
        <v>7.6923076923076927E-2</v>
      </c>
      <c r="N44" s="44">
        <v>0.84615384615384615</v>
      </c>
      <c r="O44" s="44">
        <v>0</v>
      </c>
      <c r="P44" s="50">
        <v>0</v>
      </c>
      <c r="Q44" s="50">
        <v>0.69314718055994529</v>
      </c>
      <c r="R44" s="50">
        <v>2.4849066497880004</v>
      </c>
      <c r="S44" s="50">
        <v>0</v>
      </c>
    </row>
    <row r="45" spans="1:19" x14ac:dyDescent="0.25">
      <c r="A45" s="44">
        <v>2010</v>
      </c>
      <c r="B45" s="44">
        <v>1</v>
      </c>
      <c r="C45" s="6">
        <v>-80.983833333333337</v>
      </c>
      <c r="D45" s="44">
        <v>0</v>
      </c>
      <c r="E45" s="44">
        <v>16.7</v>
      </c>
      <c r="F45" s="21">
        <v>0</v>
      </c>
      <c r="G45" s="21">
        <v>13</v>
      </c>
      <c r="H45" s="44">
        <v>0</v>
      </c>
      <c r="I45" s="44">
        <v>1.1000000000000001</v>
      </c>
      <c r="J45" s="44">
        <v>0.15</v>
      </c>
      <c r="K45" s="44">
        <v>0</v>
      </c>
      <c r="L45" s="44">
        <v>0</v>
      </c>
      <c r="M45" s="44">
        <v>0.84615384615384615</v>
      </c>
      <c r="N45" s="44">
        <v>0.11538461538461539</v>
      </c>
      <c r="O45" s="44">
        <v>0</v>
      </c>
      <c r="P45" s="50">
        <v>0</v>
      </c>
      <c r="Q45" s="50">
        <v>3.1354942159291497</v>
      </c>
      <c r="R45" s="50">
        <v>1.3862943611198906</v>
      </c>
      <c r="S45" s="50">
        <v>0</v>
      </c>
    </row>
    <row r="46" spans="1:19" x14ac:dyDescent="0.25">
      <c r="A46" s="44">
        <v>2010</v>
      </c>
      <c r="B46" s="44">
        <v>1</v>
      </c>
      <c r="C46" s="6">
        <v>-81.004666666666665</v>
      </c>
      <c r="D46" s="44">
        <v>0</v>
      </c>
      <c r="E46" s="44">
        <v>14.6</v>
      </c>
      <c r="F46" s="47">
        <v>0</v>
      </c>
      <c r="G46" s="21">
        <v>6</v>
      </c>
      <c r="H46" s="44">
        <v>0</v>
      </c>
      <c r="I46" s="44">
        <v>10.3</v>
      </c>
      <c r="J46" s="44">
        <v>10</v>
      </c>
      <c r="K46" s="44">
        <v>0.05</v>
      </c>
      <c r="L46" s="44">
        <v>0</v>
      </c>
      <c r="M46" s="44">
        <v>0.46085011185682329</v>
      </c>
      <c r="N46" s="44">
        <v>0.44742729306487694</v>
      </c>
      <c r="O46" s="44">
        <v>2.2371364653243847E-3</v>
      </c>
      <c r="P46" s="50">
        <v>0</v>
      </c>
      <c r="Q46" s="50">
        <v>5.3327187932653688</v>
      </c>
      <c r="R46" s="50">
        <v>5.3033049080590757</v>
      </c>
      <c r="S46" s="50">
        <v>0.69314718055994529</v>
      </c>
    </row>
    <row r="47" spans="1:19" x14ac:dyDescent="0.25">
      <c r="A47" s="44">
        <v>2010</v>
      </c>
      <c r="B47" s="44">
        <v>1</v>
      </c>
      <c r="C47" s="6">
        <v>-81.471333333333334</v>
      </c>
      <c r="D47" s="44">
        <v>0</v>
      </c>
      <c r="E47" s="44">
        <v>10.7</v>
      </c>
      <c r="F47" s="47">
        <v>0</v>
      </c>
      <c r="G47" s="21">
        <v>8</v>
      </c>
      <c r="H47" s="44">
        <v>0.05</v>
      </c>
      <c r="I47" s="44">
        <v>53.35</v>
      </c>
      <c r="J47" s="44">
        <v>0</v>
      </c>
      <c r="K47" s="44">
        <v>0</v>
      </c>
      <c r="L47" s="44">
        <v>9.3457943925233649E-4</v>
      </c>
      <c r="M47" s="44">
        <v>0.99719626168224296</v>
      </c>
      <c r="N47" s="44">
        <v>0</v>
      </c>
      <c r="O47" s="44">
        <v>0</v>
      </c>
      <c r="P47" s="50">
        <v>0.69314718055994529</v>
      </c>
      <c r="Q47" s="50">
        <v>6.9735430195201404</v>
      </c>
      <c r="R47" s="50">
        <v>0</v>
      </c>
      <c r="S47" s="50">
        <v>0</v>
      </c>
    </row>
    <row r="48" spans="1:19" x14ac:dyDescent="0.25">
      <c r="A48" s="44">
        <v>2010</v>
      </c>
      <c r="B48" s="44">
        <v>1</v>
      </c>
      <c r="C48" s="6">
        <v>-81.460666666666668</v>
      </c>
      <c r="D48" s="44">
        <v>0</v>
      </c>
      <c r="E48" s="44">
        <v>14.4</v>
      </c>
      <c r="F48" s="47">
        <v>0</v>
      </c>
      <c r="G48" s="21">
        <v>5</v>
      </c>
      <c r="H48" s="44">
        <v>3.55</v>
      </c>
      <c r="I48" s="44">
        <v>0.05</v>
      </c>
      <c r="J48" s="44">
        <v>0</v>
      </c>
      <c r="K48" s="44">
        <v>0.3</v>
      </c>
      <c r="L48" s="44">
        <v>0.91025641025641024</v>
      </c>
      <c r="M48" s="44">
        <v>1.282051282051282E-2</v>
      </c>
      <c r="N48" s="44">
        <v>0</v>
      </c>
      <c r="O48" s="44">
        <v>7.6923076923076927E-2</v>
      </c>
      <c r="P48" s="50">
        <v>4.2766661190160553</v>
      </c>
      <c r="Q48" s="50">
        <v>0.69314718055994529</v>
      </c>
      <c r="R48" s="50">
        <v>0</v>
      </c>
      <c r="S48" s="50">
        <v>1.9459101490553132</v>
      </c>
    </row>
    <row r="49" spans="1:19" x14ac:dyDescent="0.25">
      <c r="A49" s="44">
        <v>2010</v>
      </c>
      <c r="B49" s="44">
        <v>1</v>
      </c>
      <c r="C49" s="6">
        <v>-81.443666666666672</v>
      </c>
      <c r="D49" s="44">
        <v>1</v>
      </c>
      <c r="E49" s="44">
        <v>19.899999999999999</v>
      </c>
      <c r="F49" s="47">
        <v>0</v>
      </c>
      <c r="G49" s="21">
        <v>9</v>
      </c>
      <c r="H49" s="44">
        <v>1.05</v>
      </c>
      <c r="I49" s="44">
        <v>9.85</v>
      </c>
      <c r="J49" s="44">
        <v>0.2</v>
      </c>
      <c r="K49" s="44">
        <v>0</v>
      </c>
      <c r="L49" s="44">
        <v>9.375E-2</v>
      </c>
      <c r="M49" s="44">
        <v>0.8794642857142857</v>
      </c>
      <c r="N49" s="44">
        <v>1.7857142857142856E-2</v>
      </c>
      <c r="O49" s="44">
        <v>0</v>
      </c>
      <c r="P49" s="50">
        <v>3.0910424533583161</v>
      </c>
      <c r="Q49" s="50">
        <v>5.2882670306945352</v>
      </c>
      <c r="R49" s="50">
        <v>1.6094379124341003</v>
      </c>
      <c r="S49" s="50">
        <v>0</v>
      </c>
    </row>
    <row r="50" spans="1:19" x14ac:dyDescent="0.25">
      <c r="A50" s="44">
        <v>2010</v>
      </c>
      <c r="B50" s="44">
        <v>1</v>
      </c>
      <c r="C50" s="6">
        <v>-81.4375</v>
      </c>
      <c r="D50" s="44">
        <v>1</v>
      </c>
      <c r="E50" s="44">
        <v>20</v>
      </c>
      <c r="F50" s="47">
        <v>0</v>
      </c>
      <c r="G50" s="21">
        <v>6</v>
      </c>
      <c r="H50" s="44">
        <v>6.8</v>
      </c>
      <c r="I50" s="44">
        <v>0.45</v>
      </c>
      <c r="J50" s="44">
        <v>0.4</v>
      </c>
      <c r="K50" s="44">
        <v>0</v>
      </c>
      <c r="L50" s="44">
        <v>0.8774193548387097</v>
      </c>
      <c r="M50" s="44">
        <v>5.8064516129032261E-2</v>
      </c>
      <c r="N50" s="44">
        <v>5.1612903225806452E-2</v>
      </c>
      <c r="O50" s="44">
        <v>0</v>
      </c>
      <c r="P50" s="50">
        <v>4.9199809258281251</v>
      </c>
      <c r="Q50" s="50">
        <v>2.3025850929940459</v>
      </c>
      <c r="R50" s="50">
        <v>2.1972245773362196</v>
      </c>
      <c r="S50" s="50">
        <v>0</v>
      </c>
    </row>
    <row r="51" spans="1:19" x14ac:dyDescent="0.25">
      <c r="A51" s="44">
        <v>2010</v>
      </c>
      <c r="B51" s="44">
        <v>1</v>
      </c>
      <c r="C51" s="6">
        <v>-81.444666666666663</v>
      </c>
      <c r="D51" s="44">
        <v>0</v>
      </c>
      <c r="E51" s="44">
        <v>18.899999999999999</v>
      </c>
      <c r="F51" s="21">
        <v>0</v>
      </c>
      <c r="G51" s="21">
        <v>14</v>
      </c>
      <c r="H51" s="44">
        <v>0.45</v>
      </c>
      <c r="I51" s="44">
        <v>73.8</v>
      </c>
      <c r="J51" s="44">
        <v>0</v>
      </c>
      <c r="K51" s="44">
        <v>0</v>
      </c>
      <c r="L51" s="44">
        <v>6.0524546065904503E-3</v>
      </c>
      <c r="M51" s="44">
        <v>0.99260255548083387</v>
      </c>
      <c r="N51" s="44">
        <v>0</v>
      </c>
      <c r="O51" s="44">
        <v>0</v>
      </c>
      <c r="P51" s="50">
        <v>2.3025850929940459</v>
      </c>
      <c r="Q51" s="50">
        <v>7.2977682825313801</v>
      </c>
      <c r="R51" s="50">
        <v>0</v>
      </c>
      <c r="S51" s="50">
        <v>0</v>
      </c>
    </row>
    <row r="52" spans="1:19" x14ac:dyDescent="0.25">
      <c r="A52" s="44">
        <v>2010</v>
      </c>
      <c r="B52" s="44">
        <v>1</v>
      </c>
      <c r="C52" s="6">
        <v>-81.373999999999995</v>
      </c>
      <c r="D52" s="44">
        <v>1</v>
      </c>
      <c r="E52" s="44">
        <v>22.3</v>
      </c>
      <c r="F52" s="21">
        <v>1</v>
      </c>
      <c r="G52" s="21">
        <v>17</v>
      </c>
      <c r="H52" s="44">
        <v>1.05</v>
      </c>
      <c r="I52" s="44">
        <v>0.55000000000000004</v>
      </c>
      <c r="J52" s="44">
        <v>0.3</v>
      </c>
      <c r="K52" s="44">
        <v>0</v>
      </c>
      <c r="L52" s="44">
        <v>0.36206896551724138</v>
      </c>
      <c r="M52" s="44">
        <v>0.18965517241379309</v>
      </c>
      <c r="N52" s="44">
        <v>0.10344827586206896</v>
      </c>
      <c r="O52" s="44">
        <v>0</v>
      </c>
      <c r="P52" s="50">
        <v>3.0910424533583161</v>
      </c>
      <c r="Q52" s="50">
        <v>2.4849066497880004</v>
      </c>
      <c r="R52" s="50">
        <v>1.9459101490553132</v>
      </c>
      <c r="S52" s="50">
        <v>0</v>
      </c>
    </row>
    <row r="53" spans="1:19" x14ac:dyDescent="0.25">
      <c r="A53" s="44">
        <v>2010</v>
      </c>
      <c r="B53" s="44">
        <v>1</v>
      </c>
      <c r="C53" s="6">
        <v>-81.36</v>
      </c>
      <c r="D53" s="44">
        <v>1</v>
      </c>
      <c r="E53" s="44">
        <v>22.6</v>
      </c>
      <c r="F53" s="21">
        <v>0</v>
      </c>
      <c r="G53" s="21">
        <v>14</v>
      </c>
      <c r="H53" s="44">
        <v>1.4</v>
      </c>
      <c r="I53" s="44">
        <v>0.05</v>
      </c>
      <c r="J53" s="44">
        <v>0.35</v>
      </c>
      <c r="K53" s="44">
        <v>0.1</v>
      </c>
      <c r="L53" s="44">
        <v>0.73684210526315785</v>
      </c>
      <c r="M53" s="44">
        <v>2.6315789473684209E-2</v>
      </c>
      <c r="N53" s="44">
        <v>0.18421052631578946</v>
      </c>
      <c r="O53" s="44">
        <v>5.2631578947368418E-2</v>
      </c>
      <c r="P53" s="50">
        <v>3.3672958299864741</v>
      </c>
      <c r="Q53" s="50">
        <v>0.69314718055994529</v>
      </c>
      <c r="R53" s="50">
        <v>2.0794415416798357</v>
      </c>
      <c r="S53" s="50">
        <v>1.0986122886681098</v>
      </c>
    </row>
    <row r="54" spans="1:19" x14ac:dyDescent="0.25">
      <c r="A54" s="44">
        <v>2010</v>
      </c>
      <c r="B54" s="44">
        <v>1</v>
      </c>
      <c r="C54" s="6">
        <v>-81.354666666666674</v>
      </c>
      <c r="D54" s="44">
        <v>1</v>
      </c>
      <c r="E54" s="44">
        <v>22.5</v>
      </c>
      <c r="F54" s="47">
        <v>1</v>
      </c>
      <c r="G54" s="21">
        <v>20</v>
      </c>
      <c r="H54" s="44">
        <v>0.2</v>
      </c>
      <c r="I54" s="44">
        <v>54.15</v>
      </c>
      <c r="J54" s="44">
        <v>0.2</v>
      </c>
      <c r="K54" s="44">
        <v>0</v>
      </c>
      <c r="L54" s="44">
        <v>3.6396724294813468E-3</v>
      </c>
      <c r="M54" s="44">
        <v>0.9854413102820746</v>
      </c>
      <c r="N54" s="44">
        <v>3.6396724294813468E-3</v>
      </c>
      <c r="O54" s="44">
        <v>0</v>
      </c>
      <c r="P54" s="50">
        <v>1.6094379124341003</v>
      </c>
      <c r="Q54" s="50">
        <v>6.9884131819995918</v>
      </c>
      <c r="R54" s="50">
        <v>1.6094379124341003</v>
      </c>
      <c r="S54" s="50">
        <v>0</v>
      </c>
    </row>
    <row r="55" spans="1:19" x14ac:dyDescent="0.25">
      <c r="A55" s="44">
        <v>2010</v>
      </c>
      <c r="B55" s="44">
        <v>0</v>
      </c>
      <c r="C55" s="6">
        <v>-81.74933333333334</v>
      </c>
      <c r="D55" s="44">
        <v>1</v>
      </c>
      <c r="E55" s="44">
        <v>24.2</v>
      </c>
      <c r="F55" s="47">
        <v>1</v>
      </c>
      <c r="G55" s="21">
        <v>18</v>
      </c>
      <c r="H55" s="44">
        <v>0</v>
      </c>
      <c r="I55" s="44">
        <v>85.65</v>
      </c>
      <c r="J55" s="44">
        <v>1.95</v>
      </c>
      <c r="K55" s="44">
        <v>0.05</v>
      </c>
      <c r="L55" s="44">
        <v>0</v>
      </c>
      <c r="M55" s="44">
        <v>0.97606837606837604</v>
      </c>
      <c r="N55" s="44">
        <v>2.2222222222222223E-2</v>
      </c>
      <c r="O55" s="44">
        <v>5.6980056980056976E-4</v>
      </c>
      <c r="P55" s="50">
        <v>0</v>
      </c>
      <c r="Q55" s="50">
        <v>7.4465850991577254</v>
      </c>
      <c r="R55" s="50">
        <v>3.6888794541139363</v>
      </c>
      <c r="S55" s="50">
        <v>0.69314718055994529</v>
      </c>
    </row>
    <row r="56" spans="1:19" x14ac:dyDescent="0.25">
      <c r="A56" s="44">
        <v>2010</v>
      </c>
      <c r="B56" s="44">
        <v>0</v>
      </c>
      <c r="C56" s="6">
        <v>-81.74666666666667</v>
      </c>
      <c r="D56" s="44">
        <v>1</v>
      </c>
      <c r="E56" s="44">
        <v>24.2</v>
      </c>
      <c r="F56" s="21">
        <v>0</v>
      </c>
      <c r="G56" s="21">
        <v>15</v>
      </c>
      <c r="H56" s="44">
        <v>4.5999999999999996</v>
      </c>
      <c r="I56" s="44">
        <v>0.05</v>
      </c>
      <c r="J56" s="44">
        <v>0.55000000000000004</v>
      </c>
      <c r="K56" s="44">
        <v>0.15</v>
      </c>
      <c r="L56" s="44">
        <v>0.83636363636363631</v>
      </c>
      <c r="M56" s="44">
        <v>9.0909090909090905E-3</v>
      </c>
      <c r="N56" s="44">
        <v>0.1</v>
      </c>
      <c r="O56" s="44">
        <v>2.7272727272727271E-2</v>
      </c>
      <c r="P56" s="50">
        <v>4.5325994931532563</v>
      </c>
      <c r="Q56" s="50">
        <v>0.69314718055994529</v>
      </c>
      <c r="R56" s="50">
        <v>2.4849066497880004</v>
      </c>
      <c r="S56" s="50">
        <v>1.3862943611198906</v>
      </c>
    </row>
    <row r="57" spans="1:19" x14ac:dyDescent="0.25">
      <c r="A57" s="44">
        <v>2010</v>
      </c>
      <c r="B57" s="44">
        <v>0</v>
      </c>
      <c r="C57" s="6">
        <v>-81.740833333333327</v>
      </c>
      <c r="D57" s="44">
        <v>1</v>
      </c>
      <c r="E57" s="44">
        <v>24.4</v>
      </c>
      <c r="F57" s="21">
        <v>0</v>
      </c>
      <c r="G57" s="21">
        <v>12</v>
      </c>
      <c r="H57" s="44">
        <v>0.75</v>
      </c>
      <c r="I57" s="44">
        <v>0</v>
      </c>
      <c r="J57" s="44">
        <v>2.0499999999999998</v>
      </c>
      <c r="K57" s="44">
        <v>0.15</v>
      </c>
      <c r="L57" s="44">
        <v>0.25</v>
      </c>
      <c r="M57" s="44">
        <v>0</v>
      </c>
      <c r="N57" s="44">
        <v>0.68333333333333335</v>
      </c>
      <c r="O57" s="44">
        <v>0.05</v>
      </c>
      <c r="P57" s="50">
        <v>2.7725887222397811</v>
      </c>
      <c r="Q57" s="50">
        <v>0</v>
      </c>
      <c r="R57" s="50">
        <v>3.7376696182833684</v>
      </c>
      <c r="S57" s="50">
        <v>1.3862943611198906</v>
      </c>
    </row>
    <row r="58" spans="1:19" x14ac:dyDescent="0.25">
      <c r="A58" s="44">
        <v>2010</v>
      </c>
      <c r="B58" s="44">
        <v>0</v>
      </c>
      <c r="C58" s="6">
        <v>-81.737833333333327</v>
      </c>
      <c r="D58" s="44">
        <v>1</v>
      </c>
      <c r="E58" s="44">
        <v>24.4</v>
      </c>
      <c r="F58" s="47">
        <v>0</v>
      </c>
      <c r="G58" s="21">
        <v>7</v>
      </c>
      <c r="H58" s="44">
        <v>0.2</v>
      </c>
      <c r="I58" s="44">
        <v>0.05</v>
      </c>
      <c r="J58" s="44">
        <v>3.6</v>
      </c>
      <c r="K58" s="44">
        <v>0</v>
      </c>
      <c r="L58" s="44">
        <v>5.128205128205128E-2</v>
      </c>
      <c r="M58" s="44">
        <v>1.282051282051282E-2</v>
      </c>
      <c r="N58" s="44">
        <v>0.92307692307692313</v>
      </c>
      <c r="O58" s="44">
        <v>0</v>
      </c>
      <c r="P58" s="50">
        <v>1.6094379124341003</v>
      </c>
      <c r="Q58" s="50">
        <v>0.69314718055994529</v>
      </c>
      <c r="R58" s="50">
        <v>4.290459441148391</v>
      </c>
      <c r="S58" s="50">
        <v>0</v>
      </c>
    </row>
    <row r="59" spans="1:19" x14ac:dyDescent="0.25">
      <c r="A59" s="44">
        <v>2010</v>
      </c>
      <c r="B59" s="44">
        <v>0</v>
      </c>
      <c r="C59" s="6">
        <v>-81.813666666666663</v>
      </c>
      <c r="D59" s="44">
        <v>0</v>
      </c>
      <c r="E59" s="44">
        <v>19.399999999999999</v>
      </c>
      <c r="F59" s="21">
        <v>1</v>
      </c>
      <c r="G59" s="21">
        <v>17</v>
      </c>
      <c r="H59" s="44">
        <v>0</v>
      </c>
      <c r="I59" s="44">
        <v>53.5</v>
      </c>
      <c r="J59" s="44">
        <v>8.1999999999999993</v>
      </c>
      <c r="K59" s="44">
        <v>0</v>
      </c>
      <c r="L59" s="44">
        <v>0</v>
      </c>
      <c r="M59" s="44">
        <v>0.86709886547811998</v>
      </c>
      <c r="N59" s="44">
        <v>0.13290113452188007</v>
      </c>
      <c r="O59" s="44">
        <v>0</v>
      </c>
      <c r="P59" s="50">
        <v>0</v>
      </c>
      <c r="Q59" s="50">
        <v>6.9763480704477487</v>
      </c>
      <c r="R59" s="50">
        <v>5.1059454739005803</v>
      </c>
      <c r="S59" s="50">
        <v>0</v>
      </c>
    </row>
    <row r="60" spans="1:19" x14ac:dyDescent="0.25">
      <c r="A60" s="44">
        <v>2010</v>
      </c>
      <c r="B60" s="44">
        <v>0</v>
      </c>
      <c r="C60" s="6">
        <v>-81.81483333333334</v>
      </c>
      <c r="D60" s="44">
        <v>0</v>
      </c>
      <c r="E60" s="44">
        <v>19.400000000000002</v>
      </c>
      <c r="F60" s="47">
        <v>0</v>
      </c>
      <c r="G60" s="21">
        <v>9</v>
      </c>
      <c r="H60" s="44">
        <v>0.3</v>
      </c>
      <c r="I60" s="44">
        <v>19.399999999999999</v>
      </c>
      <c r="J60" s="44">
        <v>7.65</v>
      </c>
      <c r="K60" s="44">
        <v>0.75</v>
      </c>
      <c r="L60" s="44">
        <v>1.0619469026548672E-2</v>
      </c>
      <c r="M60" s="44">
        <v>0.68672566371681421</v>
      </c>
      <c r="N60" s="44">
        <v>0.27079646017699116</v>
      </c>
      <c r="O60" s="44">
        <v>2.6548672566371681E-2</v>
      </c>
      <c r="P60" s="50">
        <v>1.9459101490553132</v>
      </c>
      <c r="Q60" s="50">
        <v>5.9635793436184459</v>
      </c>
      <c r="R60" s="50">
        <v>5.0369526024136295</v>
      </c>
      <c r="S60" s="50">
        <v>2.7725887222397811</v>
      </c>
    </row>
    <row r="61" spans="1:19" x14ac:dyDescent="0.25">
      <c r="A61" s="44">
        <v>2010</v>
      </c>
      <c r="B61" s="44">
        <v>0</v>
      </c>
      <c r="C61" s="6">
        <v>-81.819666666666663</v>
      </c>
      <c r="D61" s="44">
        <v>0</v>
      </c>
      <c r="E61" s="44">
        <v>18.900000000000002</v>
      </c>
      <c r="F61" s="47">
        <v>0</v>
      </c>
      <c r="G61" s="21">
        <v>6</v>
      </c>
      <c r="H61" s="44">
        <v>1.45</v>
      </c>
      <c r="I61" s="44">
        <v>38</v>
      </c>
      <c r="J61" s="44">
        <v>45</v>
      </c>
      <c r="K61" s="44">
        <v>4.55</v>
      </c>
      <c r="L61" s="44">
        <v>1.6264722378014584E-2</v>
      </c>
      <c r="M61" s="44">
        <v>0.42624789680314079</v>
      </c>
      <c r="N61" s="44">
        <v>0.50476724621424562</v>
      </c>
      <c r="O61" s="44">
        <v>5.1037577117218173E-2</v>
      </c>
      <c r="P61" s="50">
        <v>3.4011973816621555</v>
      </c>
      <c r="Q61" s="50">
        <v>6.6346333578616861</v>
      </c>
      <c r="R61" s="50">
        <v>6.8035052576083377</v>
      </c>
      <c r="S61" s="50">
        <v>4.5217885770490405</v>
      </c>
    </row>
    <row r="62" spans="1:19" x14ac:dyDescent="0.25">
      <c r="A62" s="44">
        <v>2010</v>
      </c>
      <c r="B62" s="44">
        <v>0</v>
      </c>
      <c r="C62" s="6">
        <v>-81.827333333333328</v>
      </c>
      <c r="D62" s="44">
        <v>0</v>
      </c>
      <c r="E62" s="44">
        <v>11.3</v>
      </c>
      <c r="F62" s="47">
        <v>0</v>
      </c>
      <c r="G62" s="21">
        <v>9</v>
      </c>
      <c r="H62" s="44">
        <v>0</v>
      </c>
      <c r="I62" s="44">
        <v>236.25</v>
      </c>
      <c r="J62" s="44">
        <v>0.9</v>
      </c>
      <c r="K62" s="44">
        <v>0.25</v>
      </c>
      <c r="L62" s="44">
        <v>0</v>
      </c>
      <c r="M62" s="44">
        <v>0.99452746790149438</v>
      </c>
      <c r="N62" s="44">
        <v>3.7886760681961691E-3</v>
      </c>
      <c r="O62" s="44">
        <v>1.0524100189433804E-3</v>
      </c>
      <c r="P62" s="50">
        <v>0</v>
      </c>
      <c r="Q62" s="50">
        <v>8.4608344577468539</v>
      </c>
      <c r="R62" s="50">
        <v>2.9444389791664403</v>
      </c>
      <c r="S62" s="50">
        <v>1.791759469228055</v>
      </c>
    </row>
    <row r="63" spans="1:19" x14ac:dyDescent="0.25">
      <c r="A63" s="44">
        <v>2010</v>
      </c>
      <c r="B63" s="44">
        <v>0</v>
      </c>
      <c r="C63" s="6">
        <v>-81.810666666666663</v>
      </c>
      <c r="D63" s="44">
        <v>0</v>
      </c>
      <c r="E63" s="44">
        <v>14.5</v>
      </c>
      <c r="F63" s="47">
        <v>0</v>
      </c>
      <c r="G63" s="21">
        <v>6</v>
      </c>
      <c r="H63" s="44">
        <v>1.1499999999999999</v>
      </c>
      <c r="I63" s="44">
        <v>0.15</v>
      </c>
      <c r="J63" s="44">
        <v>35.25</v>
      </c>
      <c r="K63" s="44">
        <v>1.65</v>
      </c>
      <c r="L63" s="44">
        <v>3.0104712041884817E-2</v>
      </c>
      <c r="M63" s="44">
        <v>3.9267015706806281E-3</v>
      </c>
      <c r="N63" s="44">
        <v>0.92277486910994766</v>
      </c>
      <c r="O63" s="44">
        <v>4.3193717277486908E-2</v>
      </c>
      <c r="P63" s="50">
        <v>3.1780538303479458</v>
      </c>
      <c r="Q63" s="50">
        <v>1.3862943611198906</v>
      </c>
      <c r="R63" s="50">
        <v>6.5596152374932419</v>
      </c>
      <c r="S63" s="50">
        <v>3.5263605246161616</v>
      </c>
    </row>
    <row r="64" spans="1:19" x14ac:dyDescent="0.25">
      <c r="A64" s="44">
        <v>2010</v>
      </c>
      <c r="B64" s="44">
        <v>0</v>
      </c>
      <c r="C64" s="6">
        <v>-82.265500000000003</v>
      </c>
      <c r="D64" s="44">
        <v>0</v>
      </c>
      <c r="E64" s="44">
        <v>10</v>
      </c>
      <c r="F64" s="47">
        <v>0</v>
      </c>
      <c r="G64" s="21">
        <v>5</v>
      </c>
      <c r="H64" s="44">
        <v>0</v>
      </c>
      <c r="I64" s="44">
        <v>3.1</v>
      </c>
      <c r="J64" s="44">
        <v>0.8</v>
      </c>
      <c r="K64" s="44">
        <v>0</v>
      </c>
      <c r="L64" s="44">
        <v>0</v>
      </c>
      <c r="M64" s="44">
        <v>0.79487179487179482</v>
      </c>
      <c r="N64" s="44">
        <v>0.20512820512820512</v>
      </c>
      <c r="O64" s="44">
        <v>0</v>
      </c>
      <c r="P64" s="50">
        <v>0</v>
      </c>
      <c r="Q64" s="50">
        <v>4.1431347263915326</v>
      </c>
      <c r="R64" s="50">
        <v>2.8332133440562162</v>
      </c>
      <c r="S64" s="50">
        <v>0</v>
      </c>
    </row>
    <row r="65" spans="1:19" x14ac:dyDescent="0.25">
      <c r="A65" s="44">
        <v>2010</v>
      </c>
      <c r="B65" s="44">
        <v>0</v>
      </c>
      <c r="C65" s="6">
        <v>-82.254833333333337</v>
      </c>
      <c r="D65" s="44">
        <v>0</v>
      </c>
      <c r="E65" s="44">
        <v>14.699999999999998</v>
      </c>
      <c r="F65" s="21">
        <v>0</v>
      </c>
      <c r="G65" s="21">
        <v>10</v>
      </c>
      <c r="H65" s="44">
        <v>0</v>
      </c>
      <c r="I65" s="44">
        <v>27.3</v>
      </c>
      <c r="J65" s="44">
        <v>1.25</v>
      </c>
      <c r="K65" s="44">
        <v>0</v>
      </c>
      <c r="L65" s="44">
        <v>0</v>
      </c>
      <c r="M65" s="44">
        <v>0.95454545454545459</v>
      </c>
      <c r="N65" s="44">
        <v>4.3706293706293704E-2</v>
      </c>
      <c r="O65" s="44">
        <v>0</v>
      </c>
      <c r="P65" s="50">
        <v>0</v>
      </c>
      <c r="Q65" s="50">
        <v>6.3044488024219811</v>
      </c>
      <c r="R65" s="50">
        <v>3.2580965380214821</v>
      </c>
      <c r="S65" s="50">
        <v>0</v>
      </c>
    </row>
    <row r="66" spans="1:19" x14ac:dyDescent="0.25">
      <c r="A66" s="44">
        <v>2010</v>
      </c>
      <c r="B66" s="44">
        <v>0</v>
      </c>
      <c r="C66" s="6">
        <v>-82.220000000000013</v>
      </c>
      <c r="D66" s="44">
        <v>1</v>
      </c>
      <c r="E66" s="44">
        <v>21.3</v>
      </c>
      <c r="F66" s="21">
        <v>0</v>
      </c>
      <c r="G66" s="21">
        <v>14</v>
      </c>
      <c r="H66" s="44">
        <v>0.75</v>
      </c>
      <c r="I66" s="44">
        <v>17.350000000000001</v>
      </c>
      <c r="J66" s="44">
        <v>4.2</v>
      </c>
      <c r="K66" s="44">
        <v>0</v>
      </c>
      <c r="L66" s="44">
        <v>3.34075723830735E-2</v>
      </c>
      <c r="M66" s="44">
        <v>0.77282850779510026</v>
      </c>
      <c r="N66" s="44">
        <v>0.18708240534521159</v>
      </c>
      <c r="O66" s="44">
        <v>0</v>
      </c>
      <c r="P66" s="50">
        <v>2.7725887222397811</v>
      </c>
      <c r="Q66" s="50">
        <v>5.8522024797744745</v>
      </c>
      <c r="R66" s="50">
        <v>4.4426512564903167</v>
      </c>
      <c r="S66" s="50">
        <v>0</v>
      </c>
    </row>
    <row r="67" spans="1:19" x14ac:dyDescent="0.25">
      <c r="A67" s="44">
        <v>2010</v>
      </c>
      <c r="B67" s="44">
        <v>0</v>
      </c>
      <c r="C67" s="6">
        <v>-82.215000000000018</v>
      </c>
      <c r="D67" s="44">
        <v>1</v>
      </c>
      <c r="E67" s="44">
        <v>20.900000000000002</v>
      </c>
      <c r="F67" s="21">
        <v>0</v>
      </c>
      <c r="G67" s="21">
        <v>10</v>
      </c>
      <c r="H67" s="44">
        <v>0.4</v>
      </c>
      <c r="I67" s="44">
        <v>0</v>
      </c>
      <c r="J67" s="44">
        <v>86.5</v>
      </c>
      <c r="K67" s="44">
        <v>0</v>
      </c>
      <c r="L67" s="44">
        <v>4.5662100456621002E-3</v>
      </c>
      <c r="M67" s="44">
        <v>0</v>
      </c>
      <c r="N67" s="44">
        <v>0.98744292237442921</v>
      </c>
      <c r="O67" s="44">
        <v>0</v>
      </c>
      <c r="P67" s="50">
        <v>2.1972245773362196</v>
      </c>
      <c r="Q67" s="50">
        <v>0</v>
      </c>
      <c r="R67" s="50">
        <v>7.4564545551762089</v>
      </c>
      <c r="S67" s="50">
        <v>0</v>
      </c>
    </row>
    <row r="68" spans="1:19" x14ac:dyDescent="0.25">
      <c r="A68" s="44">
        <v>2010</v>
      </c>
      <c r="B68" s="44">
        <v>0</v>
      </c>
      <c r="C68" s="6">
        <v>-82.224999999999994</v>
      </c>
      <c r="D68" s="44">
        <v>1</v>
      </c>
      <c r="E68" s="44">
        <v>21</v>
      </c>
      <c r="F68" s="47">
        <v>0</v>
      </c>
      <c r="G68" s="21">
        <v>7</v>
      </c>
      <c r="H68" s="44">
        <v>0.1</v>
      </c>
      <c r="I68" s="44">
        <v>0</v>
      </c>
      <c r="J68" s="44">
        <v>82.2</v>
      </c>
      <c r="K68" s="44">
        <v>0</v>
      </c>
      <c r="L68" s="44">
        <v>1.2113870381586917E-3</v>
      </c>
      <c r="M68" s="44">
        <v>0</v>
      </c>
      <c r="N68" s="44">
        <v>0.99576014536644453</v>
      </c>
      <c r="O68" s="44">
        <v>0</v>
      </c>
      <c r="P68" s="50">
        <v>1.0986122886681098</v>
      </c>
      <c r="Q68" s="50">
        <v>0</v>
      </c>
      <c r="R68" s="50">
        <v>7.4054956631994724</v>
      </c>
      <c r="S68" s="50">
        <v>0</v>
      </c>
    </row>
    <row r="69" spans="1:19" x14ac:dyDescent="0.25">
      <c r="A69" s="44">
        <v>2010</v>
      </c>
      <c r="B69" s="44">
        <v>0</v>
      </c>
      <c r="C69" s="6">
        <v>-82.120666666666665</v>
      </c>
      <c r="D69" s="44">
        <v>1</v>
      </c>
      <c r="E69" s="44">
        <v>21.3</v>
      </c>
      <c r="F69" s="21">
        <v>1</v>
      </c>
      <c r="G69" s="21">
        <v>17</v>
      </c>
      <c r="H69" s="44">
        <v>1.35</v>
      </c>
      <c r="I69" s="44">
        <v>0.85</v>
      </c>
      <c r="J69" s="44">
        <v>7.6</v>
      </c>
      <c r="K69" s="44">
        <v>0</v>
      </c>
      <c r="L69" s="44">
        <v>0.135678391959799</v>
      </c>
      <c r="M69" s="44">
        <v>8.5427135678391955E-2</v>
      </c>
      <c r="N69" s="44">
        <v>0.76381909547738691</v>
      </c>
      <c r="O69" s="44">
        <v>0</v>
      </c>
      <c r="P69" s="50">
        <v>3.3322045101752038</v>
      </c>
      <c r="Q69" s="50">
        <v>2.8903717578961645</v>
      </c>
      <c r="R69" s="50">
        <v>5.0304379213924353</v>
      </c>
      <c r="S69" s="50">
        <v>0</v>
      </c>
    </row>
    <row r="70" spans="1:19" x14ac:dyDescent="0.25">
      <c r="A70" s="44">
        <v>2010</v>
      </c>
      <c r="B70" s="44">
        <v>0</v>
      </c>
      <c r="C70" s="6">
        <v>-82.116</v>
      </c>
      <c r="D70" s="44">
        <v>1</v>
      </c>
      <c r="E70" s="44">
        <v>21.8</v>
      </c>
      <c r="F70" s="21">
        <v>0</v>
      </c>
      <c r="G70" s="21">
        <v>14</v>
      </c>
      <c r="H70" s="44">
        <v>3.85</v>
      </c>
      <c r="I70" s="44">
        <v>0</v>
      </c>
      <c r="J70" s="44">
        <v>5.0999999999999996</v>
      </c>
      <c r="K70" s="44">
        <v>0.1</v>
      </c>
      <c r="L70" s="44">
        <v>0.40957446808510639</v>
      </c>
      <c r="M70" s="44">
        <v>0</v>
      </c>
      <c r="N70" s="44">
        <v>0.54255319148936165</v>
      </c>
      <c r="O70" s="44">
        <v>1.0638297872340425E-2</v>
      </c>
      <c r="P70" s="50">
        <v>4.3567088266895917</v>
      </c>
      <c r="Q70" s="50">
        <v>0</v>
      </c>
      <c r="R70" s="50">
        <v>4.6347289882296359</v>
      </c>
      <c r="S70" s="50">
        <v>1.0986122886681098</v>
      </c>
    </row>
    <row r="71" spans="1:19" x14ac:dyDescent="0.25">
      <c r="A71" s="44">
        <v>2010</v>
      </c>
      <c r="B71" s="44">
        <v>0</v>
      </c>
      <c r="C71" s="6">
        <v>-82.156666666666666</v>
      </c>
      <c r="D71" s="44">
        <v>1</v>
      </c>
      <c r="E71" s="44">
        <v>21.8</v>
      </c>
      <c r="F71" s="47">
        <v>0</v>
      </c>
      <c r="G71" s="21">
        <v>6</v>
      </c>
      <c r="H71" s="44">
        <v>2.15</v>
      </c>
      <c r="I71" s="44">
        <v>0</v>
      </c>
      <c r="J71" s="44">
        <v>0.4</v>
      </c>
      <c r="K71" s="44">
        <v>0.1</v>
      </c>
      <c r="L71" s="44">
        <v>0.81132075471698117</v>
      </c>
      <c r="M71" s="44">
        <v>0</v>
      </c>
      <c r="N71" s="44">
        <v>0.15094339622641509</v>
      </c>
      <c r="O71" s="44">
        <v>3.7735849056603772E-2</v>
      </c>
      <c r="P71" s="50">
        <v>3.784189633918261</v>
      </c>
      <c r="Q71" s="50">
        <v>0</v>
      </c>
      <c r="R71" s="50">
        <v>2.1972245773362196</v>
      </c>
      <c r="S71" s="50">
        <v>1.0986122886681098</v>
      </c>
    </row>
    <row r="72" spans="1:19" x14ac:dyDescent="0.25">
      <c r="A72" s="44">
        <v>2011</v>
      </c>
      <c r="B72" s="44">
        <v>1</v>
      </c>
      <c r="C72" s="6">
        <v>-81.439066999999994</v>
      </c>
      <c r="D72" s="44">
        <v>0</v>
      </c>
      <c r="E72" s="44">
        <v>19</v>
      </c>
      <c r="F72" s="1">
        <v>0</v>
      </c>
      <c r="G72" s="1">
        <v>3</v>
      </c>
      <c r="H72" s="44">
        <v>2.8</v>
      </c>
      <c r="I72" s="44">
        <v>0</v>
      </c>
      <c r="J72" s="44">
        <v>0.3</v>
      </c>
      <c r="K72" s="44">
        <v>0</v>
      </c>
      <c r="L72" s="44">
        <v>0.90322580645161288</v>
      </c>
      <c r="M72" s="44">
        <v>0</v>
      </c>
      <c r="N72" s="44">
        <v>9.6774193548387094E-2</v>
      </c>
      <c r="O72" s="44">
        <v>0</v>
      </c>
      <c r="P72" s="50">
        <v>3.3672958299864741</v>
      </c>
      <c r="Q72" s="50">
        <v>0</v>
      </c>
      <c r="R72" s="50">
        <v>1.3862943611198906</v>
      </c>
      <c r="S72" s="50">
        <v>0</v>
      </c>
    </row>
    <row r="73" spans="1:19" x14ac:dyDescent="0.25">
      <c r="A73" s="44">
        <v>2011</v>
      </c>
      <c r="B73" s="44">
        <v>1</v>
      </c>
      <c r="C73" s="6">
        <v>-81.405133000000006</v>
      </c>
      <c r="D73" s="44">
        <v>1</v>
      </c>
      <c r="E73" s="44">
        <v>21</v>
      </c>
      <c r="F73" s="1">
        <v>0</v>
      </c>
      <c r="G73" s="1">
        <v>11</v>
      </c>
      <c r="H73" s="44">
        <v>1.1000000000000001</v>
      </c>
      <c r="I73" s="44">
        <v>0.8</v>
      </c>
      <c r="J73" s="44">
        <v>0.2</v>
      </c>
      <c r="K73" s="44">
        <v>0</v>
      </c>
      <c r="L73" s="44">
        <v>0.52380952380952384</v>
      </c>
      <c r="M73" s="44">
        <v>0.38095238095238093</v>
      </c>
      <c r="N73" s="44">
        <v>9.5238095238095233E-2</v>
      </c>
      <c r="O73" s="44">
        <v>0</v>
      </c>
      <c r="P73" s="50">
        <v>2.4849066497880004</v>
      </c>
      <c r="Q73" s="50">
        <v>2.1972245773362196</v>
      </c>
      <c r="R73" s="50">
        <v>1.0986122886681098</v>
      </c>
      <c r="S73" s="50">
        <v>0</v>
      </c>
    </row>
    <row r="74" spans="1:19" x14ac:dyDescent="0.25">
      <c r="A74" s="44">
        <v>2011</v>
      </c>
      <c r="B74" s="44">
        <v>1</v>
      </c>
      <c r="C74" s="6">
        <v>-81.292266999999995</v>
      </c>
      <c r="D74" s="44">
        <v>1</v>
      </c>
      <c r="E74" s="44">
        <v>22.6</v>
      </c>
      <c r="F74" s="1">
        <v>1</v>
      </c>
      <c r="G74" s="1">
        <v>16</v>
      </c>
      <c r="H74" s="44">
        <v>0</v>
      </c>
      <c r="I74" s="44">
        <v>6.9</v>
      </c>
      <c r="J74" s="44">
        <v>0</v>
      </c>
      <c r="K74" s="44">
        <v>0</v>
      </c>
      <c r="L74" s="44">
        <v>0</v>
      </c>
      <c r="M74" s="44">
        <v>1</v>
      </c>
      <c r="N74" s="44">
        <v>0</v>
      </c>
      <c r="O74" s="44">
        <v>0</v>
      </c>
      <c r="P74" s="50">
        <v>0</v>
      </c>
      <c r="Q74" s="50">
        <v>4.2484952420493594</v>
      </c>
      <c r="R74" s="50">
        <v>0</v>
      </c>
      <c r="S74" s="50">
        <v>0</v>
      </c>
    </row>
    <row r="75" spans="1:19" x14ac:dyDescent="0.25">
      <c r="A75" s="44">
        <v>2011</v>
      </c>
      <c r="B75" s="44">
        <v>1</v>
      </c>
      <c r="C75" s="6">
        <v>-81.261032999999998</v>
      </c>
      <c r="D75" s="44">
        <v>1</v>
      </c>
      <c r="E75" s="44">
        <v>22</v>
      </c>
      <c r="F75" s="1">
        <v>0</v>
      </c>
      <c r="G75" s="1">
        <v>11</v>
      </c>
      <c r="H75" s="44">
        <v>1.1000000000000001</v>
      </c>
      <c r="I75" s="44">
        <v>0</v>
      </c>
      <c r="J75" s="44">
        <v>0</v>
      </c>
      <c r="K75" s="44">
        <v>0.1</v>
      </c>
      <c r="L75" s="44">
        <v>0.91666666666666663</v>
      </c>
      <c r="M75" s="44">
        <v>0</v>
      </c>
      <c r="N75" s="44">
        <v>0</v>
      </c>
      <c r="O75" s="44">
        <v>8.3333333333333329E-2</v>
      </c>
      <c r="P75" s="50">
        <v>2.4849066497880004</v>
      </c>
      <c r="Q75" s="50">
        <v>0</v>
      </c>
      <c r="R75" s="50">
        <v>0</v>
      </c>
      <c r="S75" s="50">
        <v>0.69314718055994529</v>
      </c>
    </row>
    <row r="76" spans="1:19" x14ac:dyDescent="0.25">
      <c r="A76" s="44">
        <v>2011</v>
      </c>
      <c r="B76" s="44">
        <v>1</v>
      </c>
      <c r="C76" s="14">
        <v>-81.506699999999995</v>
      </c>
      <c r="D76" s="44">
        <v>1</v>
      </c>
      <c r="E76" s="44">
        <v>24.0792</v>
      </c>
      <c r="F76" s="1">
        <v>1</v>
      </c>
      <c r="G76" s="1">
        <v>15</v>
      </c>
      <c r="H76" s="44">
        <v>0</v>
      </c>
      <c r="I76" s="44">
        <v>38.5</v>
      </c>
      <c r="J76" s="44">
        <v>0</v>
      </c>
      <c r="K76" s="44">
        <v>0</v>
      </c>
      <c r="L76" s="44">
        <v>0</v>
      </c>
      <c r="M76" s="44">
        <v>0.99870298313878081</v>
      </c>
      <c r="N76" s="44">
        <v>0</v>
      </c>
      <c r="O76" s="44">
        <v>0</v>
      </c>
      <c r="P76" s="50">
        <v>0</v>
      </c>
      <c r="Q76" s="50">
        <v>6.6476883735633292</v>
      </c>
      <c r="R76" s="50">
        <v>0</v>
      </c>
      <c r="S76" s="50">
        <v>0</v>
      </c>
    </row>
    <row r="77" spans="1:19" x14ac:dyDescent="0.25">
      <c r="A77" s="44">
        <v>2011</v>
      </c>
      <c r="B77" s="44">
        <v>1</v>
      </c>
      <c r="C77" s="14">
        <v>-81.454800000000006</v>
      </c>
      <c r="D77" s="44">
        <v>1</v>
      </c>
      <c r="E77" s="44">
        <v>22.86</v>
      </c>
      <c r="F77" s="1">
        <v>1</v>
      </c>
      <c r="G77" s="1">
        <v>17</v>
      </c>
      <c r="H77" s="44">
        <v>0</v>
      </c>
      <c r="I77" s="44">
        <v>45.75</v>
      </c>
      <c r="J77" s="44">
        <v>0.1</v>
      </c>
      <c r="K77" s="44">
        <v>0</v>
      </c>
      <c r="L77" s="44">
        <v>0</v>
      </c>
      <c r="M77" s="44">
        <v>0.99564744287268769</v>
      </c>
      <c r="N77" s="44">
        <v>2.176278563656148E-3</v>
      </c>
      <c r="O77" s="44">
        <v>0</v>
      </c>
      <c r="P77" s="50">
        <v>0</v>
      </c>
      <c r="Q77" s="50">
        <v>6.8200163646741299</v>
      </c>
      <c r="R77" s="50">
        <v>1.0986122886681098</v>
      </c>
      <c r="S77" s="50">
        <v>0</v>
      </c>
    </row>
    <row r="78" spans="1:19" x14ac:dyDescent="0.25">
      <c r="A78" s="44">
        <v>2011</v>
      </c>
      <c r="B78" s="44">
        <v>1</v>
      </c>
      <c r="C78" s="14">
        <v>-81.417699999999996</v>
      </c>
      <c r="D78" s="44">
        <v>1</v>
      </c>
      <c r="E78" s="44">
        <v>21.031200000000002</v>
      </c>
      <c r="F78" s="1">
        <v>0</v>
      </c>
      <c r="G78" s="1">
        <v>8</v>
      </c>
      <c r="H78" s="44">
        <v>0</v>
      </c>
      <c r="I78" s="44">
        <v>0.85</v>
      </c>
      <c r="J78" s="44">
        <v>0</v>
      </c>
      <c r="K78" s="44">
        <v>0</v>
      </c>
      <c r="L78" s="44">
        <v>0</v>
      </c>
      <c r="M78" s="44">
        <v>1</v>
      </c>
      <c r="N78" s="44">
        <v>0</v>
      </c>
      <c r="O78" s="44">
        <v>0</v>
      </c>
      <c r="P78" s="50">
        <v>0</v>
      </c>
      <c r="Q78" s="50">
        <v>2.8903717578961645</v>
      </c>
      <c r="R78" s="50">
        <v>0</v>
      </c>
      <c r="S78" s="50">
        <v>0</v>
      </c>
    </row>
    <row r="79" spans="1:19" x14ac:dyDescent="0.25">
      <c r="A79" s="44">
        <v>2011</v>
      </c>
      <c r="B79" s="44">
        <v>1</v>
      </c>
      <c r="C79" s="14">
        <v>-80.970299999999995</v>
      </c>
      <c r="D79" s="44">
        <v>0</v>
      </c>
      <c r="E79" s="44">
        <v>17.0688</v>
      </c>
      <c r="F79" s="1">
        <v>0</v>
      </c>
      <c r="G79" s="1">
        <v>9</v>
      </c>
      <c r="H79" s="44">
        <v>0</v>
      </c>
      <c r="I79" s="44">
        <v>0.7</v>
      </c>
      <c r="J79" s="44">
        <v>0</v>
      </c>
      <c r="K79" s="44">
        <v>0</v>
      </c>
      <c r="L79" s="44">
        <v>0</v>
      </c>
      <c r="M79" s="44">
        <v>0.18666666666666668</v>
      </c>
      <c r="N79" s="44">
        <v>0</v>
      </c>
      <c r="O79" s="44">
        <v>0</v>
      </c>
      <c r="P79" s="50">
        <v>0</v>
      </c>
      <c r="Q79" s="50">
        <v>2.7080502011022101</v>
      </c>
      <c r="R79" s="50">
        <v>0</v>
      </c>
      <c r="S79" s="50">
        <v>0</v>
      </c>
    </row>
    <row r="80" spans="1:19" x14ac:dyDescent="0.25">
      <c r="A80" s="44">
        <v>2011</v>
      </c>
      <c r="B80" s="44">
        <v>1</v>
      </c>
      <c r="C80" s="14">
        <v>-81.017700000000005</v>
      </c>
      <c r="D80" s="44">
        <v>1</v>
      </c>
      <c r="E80" s="44">
        <v>21.945600000000002</v>
      </c>
      <c r="F80" s="1">
        <v>1</v>
      </c>
      <c r="G80" s="1">
        <v>17</v>
      </c>
      <c r="H80" s="44">
        <v>0</v>
      </c>
      <c r="I80" s="44">
        <v>83.65</v>
      </c>
      <c r="J80" s="44">
        <v>0</v>
      </c>
      <c r="K80" s="44">
        <v>0</v>
      </c>
      <c r="L80" s="44">
        <v>0</v>
      </c>
      <c r="M80" s="44">
        <v>0.99761478831246275</v>
      </c>
      <c r="N80" s="44">
        <v>0</v>
      </c>
      <c r="O80" s="44">
        <v>0</v>
      </c>
      <c r="P80" s="50">
        <v>0</v>
      </c>
      <c r="Q80" s="50">
        <v>7.4229712510494208</v>
      </c>
      <c r="R80" s="50">
        <v>0</v>
      </c>
      <c r="S80" s="50">
        <v>0</v>
      </c>
    </row>
    <row r="81" spans="1:19" x14ac:dyDescent="0.25">
      <c r="A81" s="44">
        <v>2011</v>
      </c>
      <c r="B81" s="44">
        <v>1</v>
      </c>
      <c r="C81" s="14">
        <v>-81.047300000000007</v>
      </c>
      <c r="D81" s="44">
        <v>1</v>
      </c>
      <c r="E81" s="44">
        <v>20.421600000000002</v>
      </c>
      <c r="F81" s="1">
        <v>1</v>
      </c>
      <c r="G81" s="1">
        <v>14</v>
      </c>
      <c r="H81" s="44">
        <v>0</v>
      </c>
      <c r="I81" s="44">
        <v>29.2</v>
      </c>
      <c r="J81" s="44">
        <v>0</v>
      </c>
      <c r="K81" s="44">
        <v>0</v>
      </c>
      <c r="L81" s="44">
        <v>0</v>
      </c>
      <c r="M81" s="44">
        <v>0.9982905982905983</v>
      </c>
      <c r="N81" s="44">
        <v>0</v>
      </c>
      <c r="O81" s="44">
        <v>0</v>
      </c>
      <c r="P81" s="50">
        <v>0</v>
      </c>
      <c r="Q81" s="50">
        <v>6.3716118472318568</v>
      </c>
      <c r="R81" s="50">
        <v>0</v>
      </c>
      <c r="S81" s="50">
        <v>0</v>
      </c>
    </row>
    <row r="82" spans="1:19" x14ac:dyDescent="0.25">
      <c r="A82" s="44">
        <v>2011</v>
      </c>
      <c r="B82" s="44">
        <v>1</v>
      </c>
      <c r="C82" s="6">
        <v>-80.916499999999999</v>
      </c>
      <c r="D82" s="44">
        <v>1</v>
      </c>
      <c r="E82" s="30">
        <v>21.2</v>
      </c>
      <c r="F82" s="1">
        <v>1</v>
      </c>
      <c r="G82" s="1">
        <v>15</v>
      </c>
      <c r="H82" s="44">
        <v>0</v>
      </c>
      <c r="I82" s="44">
        <v>7.55</v>
      </c>
      <c r="J82" s="44">
        <v>0</v>
      </c>
      <c r="K82" s="44">
        <v>0</v>
      </c>
      <c r="L82" s="44">
        <v>0</v>
      </c>
      <c r="M82" s="44">
        <v>1</v>
      </c>
      <c r="N82" s="44">
        <v>0</v>
      </c>
      <c r="O82" s="44">
        <v>0</v>
      </c>
      <c r="P82" s="50">
        <v>0</v>
      </c>
      <c r="Q82" s="50">
        <v>5.0238805208462765</v>
      </c>
      <c r="R82" s="50">
        <v>0</v>
      </c>
      <c r="S82" s="50">
        <v>0</v>
      </c>
    </row>
    <row r="83" spans="1:19" x14ac:dyDescent="0.25">
      <c r="A83" s="44">
        <v>2011</v>
      </c>
      <c r="B83" s="44">
        <v>1</v>
      </c>
      <c r="C83" s="6">
        <v>-80.921833333333339</v>
      </c>
      <c r="D83" s="44">
        <v>1</v>
      </c>
      <c r="E83" s="30">
        <v>21.2</v>
      </c>
      <c r="F83" s="1">
        <v>1</v>
      </c>
      <c r="G83" s="1">
        <v>15</v>
      </c>
      <c r="H83" s="44">
        <v>0</v>
      </c>
      <c r="I83" s="44">
        <v>31.05</v>
      </c>
      <c r="J83" s="44">
        <v>0.45</v>
      </c>
      <c r="K83" s="44">
        <v>0</v>
      </c>
      <c r="L83" s="44">
        <v>0</v>
      </c>
      <c r="M83" s="44">
        <v>0.98571428571428577</v>
      </c>
      <c r="N83" s="44">
        <v>1.4285714285714285E-2</v>
      </c>
      <c r="O83" s="44">
        <v>0</v>
      </c>
      <c r="P83" s="50">
        <v>0</v>
      </c>
      <c r="Q83" s="50">
        <v>6.4329400927391793</v>
      </c>
      <c r="R83" s="50">
        <v>2.3025850929940459</v>
      </c>
      <c r="S83" s="50">
        <v>0</v>
      </c>
    </row>
    <row r="84" spans="1:19" x14ac:dyDescent="0.25">
      <c r="A84" s="44">
        <v>2011</v>
      </c>
      <c r="B84" s="44">
        <v>1</v>
      </c>
      <c r="C84" s="6">
        <v>-80.921499999999995</v>
      </c>
      <c r="D84" s="44">
        <v>1</v>
      </c>
      <c r="E84" s="30">
        <v>21.2</v>
      </c>
      <c r="F84" s="1">
        <v>0</v>
      </c>
      <c r="G84" s="1">
        <v>11</v>
      </c>
      <c r="H84" s="44">
        <v>0</v>
      </c>
      <c r="I84" s="44">
        <v>0.05</v>
      </c>
      <c r="J84" s="44">
        <v>2.0499999999999998</v>
      </c>
      <c r="K84" s="44">
        <v>0</v>
      </c>
      <c r="L84" s="44">
        <v>0</v>
      </c>
      <c r="M84" s="44">
        <v>2.3255813953488372E-2</v>
      </c>
      <c r="N84" s="44">
        <v>0.95348837209302328</v>
      </c>
      <c r="O84" s="44">
        <v>0</v>
      </c>
      <c r="P84" s="50">
        <v>0</v>
      </c>
      <c r="Q84" s="50">
        <v>0.69314718055994529</v>
      </c>
      <c r="R84" s="50">
        <v>3.7376696182833684</v>
      </c>
      <c r="S84" s="50">
        <v>0</v>
      </c>
    </row>
    <row r="85" spans="1:19" x14ac:dyDescent="0.25">
      <c r="A85" s="44">
        <v>2011</v>
      </c>
      <c r="B85" s="44">
        <v>1</v>
      </c>
      <c r="C85" s="6">
        <v>-80.924833333333339</v>
      </c>
      <c r="D85" s="44">
        <v>1</v>
      </c>
      <c r="E85" s="30">
        <v>21.5</v>
      </c>
      <c r="F85" s="1">
        <v>0</v>
      </c>
      <c r="G85" s="1">
        <v>5</v>
      </c>
      <c r="H85" s="44">
        <v>0</v>
      </c>
      <c r="I85" s="44">
        <v>0</v>
      </c>
      <c r="J85" s="44">
        <v>0.85</v>
      </c>
      <c r="K85" s="44">
        <v>0</v>
      </c>
      <c r="L85" s="44">
        <v>0</v>
      </c>
      <c r="M85" s="44">
        <v>0</v>
      </c>
      <c r="N85" s="44">
        <v>1</v>
      </c>
      <c r="O85" s="44">
        <v>0</v>
      </c>
      <c r="P85" s="50">
        <v>0</v>
      </c>
      <c r="Q85" s="50">
        <v>0</v>
      </c>
      <c r="R85" s="50">
        <v>2.8903717578961645</v>
      </c>
      <c r="S85" s="50">
        <v>0</v>
      </c>
    </row>
    <row r="86" spans="1:19" x14ac:dyDescent="0.25">
      <c r="A86" s="44">
        <v>2011</v>
      </c>
      <c r="B86" s="44">
        <v>1</v>
      </c>
      <c r="C86" s="6">
        <v>-80.984666666666669</v>
      </c>
      <c r="D86" s="44">
        <v>0</v>
      </c>
      <c r="E86" s="30">
        <v>17.5</v>
      </c>
      <c r="F86" s="1">
        <v>0</v>
      </c>
      <c r="G86" s="1">
        <v>9</v>
      </c>
      <c r="H86" s="44">
        <v>0</v>
      </c>
      <c r="I86" s="44">
        <v>4.2</v>
      </c>
      <c r="J86" s="44">
        <v>36.799999999999997</v>
      </c>
      <c r="K86" s="44">
        <v>0</v>
      </c>
      <c r="L86" s="44">
        <v>0</v>
      </c>
      <c r="M86" s="44">
        <v>0.10206561360874848</v>
      </c>
      <c r="N86" s="44">
        <v>0.89428918590522477</v>
      </c>
      <c r="O86" s="44">
        <v>0</v>
      </c>
      <c r="P86" s="50">
        <v>0</v>
      </c>
      <c r="Q86" s="50">
        <v>4.4426512564903167</v>
      </c>
      <c r="R86" s="50">
        <v>6.6025878921893364</v>
      </c>
      <c r="S86" s="50">
        <v>0</v>
      </c>
    </row>
    <row r="87" spans="1:19" x14ac:dyDescent="0.25">
      <c r="A87" s="44">
        <v>2011</v>
      </c>
      <c r="B87" s="44">
        <v>1</v>
      </c>
      <c r="C87" s="6">
        <v>-80.980999999999995</v>
      </c>
      <c r="D87" s="44">
        <v>0</v>
      </c>
      <c r="E87" s="30">
        <v>16.899999999999999</v>
      </c>
      <c r="F87" s="1">
        <v>0</v>
      </c>
      <c r="G87" s="1">
        <v>7</v>
      </c>
      <c r="H87" s="44">
        <v>0</v>
      </c>
      <c r="I87" s="44">
        <v>0.05</v>
      </c>
      <c r="J87" s="44">
        <v>51.75</v>
      </c>
      <c r="K87" s="44">
        <v>0.05</v>
      </c>
      <c r="L87" s="44">
        <v>0</v>
      </c>
      <c r="M87" s="44">
        <v>9.5877277085330771E-4</v>
      </c>
      <c r="N87" s="44">
        <v>0.99232981783317353</v>
      </c>
      <c r="O87" s="44">
        <v>9.5877277085330771E-4</v>
      </c>
      <c r="P87" s="50">
        <v>0</v>
      </c>
      <c r="Q87" s="50">
        <v>0.69314718055994529</v>
      </c>
      <c r="R87" s="50">
        <v>6.9431224228194282</v>
      </c>
      <c r="S87" s="50">
        <v>0.69314718055994529</v>
      </c>
    </row>
    <row r="88" spans="1:19" x14ac:dyDescent="0.25">
      <c r="A88" s="44">
        <v>2011</v>
      </c>
      <c r="B88" s="44">
        <v>1</v>
      </c>
      <c r="C88" s="6">
        <v>-80.989166666666662</v>
      </c>
      <c r="D88" s="44">
        <v>0</v>
      </c>
      <c r="E88" s="30">
        <v>18</v>
      </c>
      <c r="F88" s="1">
        <v>0</v>
      </c>
      <c r="G88" s="1">
        <v>5</v>
      </c>
      <c r="H88" s="44">
        <v>0</v>
      </c>
      <c r="I88" s="44">
        <v>0</v>
      </c>
      <c r="J88" s="44">
        <v>7</v>
      </c>
      <c r="K88" s="44">
        <v>0</v>
      </c>
      <c r="L88" s="44">
        <v>0</v>
      </c>
      <c r="M88" s="44">
        <v>0</v>
      </c>
      <c r="N88" s="44">
        <v>0.99290780141843971</v>
      </c>
      <c r="O88" s="44">
        <v>0</v>
      </c>
      <c r="P88" s="50">
        <v>0</v>
      </c>
      <c r="Q88" s="50">
        <v>0</v>
      </c>
      <c r="R88" s="50">
        <v>4.9487598903781684</v>
      </c>
      <c r="S88" s="50">
        <v>0</v>
      </c>
    </row>
    <row r="89" spans="1:19" x14ac:dyDescent="0.25">
      <c r="A89" s="44">
        <v>2011</v>
      </c>
      <c r="B89" s="44">
        <v>1</v>
      </c>
      <c r="C89" s="6">
        <v>-81.009</v>
      </c>
      <c r="D89" s="44">
        <v>0</v>
      </c>
      <c r="E89" s="30">
        <v>14.8</v>
      </c>
      <c r="F89" s="1">
        <v>0</v>
      </c>
      <c r="G89" s="1">
        <v>7</v>
      </c>
      <c r="H89" s="44">
        <v>0.05</v>
      </c>
      <c r="I89" s="44">
        <v>9.1</v>
      </c>
      <c r="J89" s="44">
        <v>4.9000000000000004</v>
      </c>
      <c r="K89" s="44">
        <v>0</v>
      </c>
      <c r="L89" s="44">
        <v>3.5335689045936395E-3</v>
      </c>
      <c r="M89" s="44">
        <v>0.64310954063604242</v>
      </c>
      <c r="N89" s="44">
        <v>0.3462897526501767</v>
      </c>
      <c r="O89" s="44">
        <v>0</v>
      </c>
      <c r="P89" s="50">
        <v>0.69314718055994529</v>
      </c>
      <c r="Q89" s="50">
        <v>5.2094861528414214</v>
      </c>
      <c r="R89" s="50">
        <v>4.5951198501345898</v>
      </c>
      <c r="S89" s="50">
        <v>0</v>
      </c>
    </row>
    <row r="90" spans="1:19" x14ac:dyDescent="0.25">
      <c r="A90" s="44">
        <v>2011</v>
      </c>
      <c r="B90" s="44">
        <v>1</v>
      </c>
      <c r="C90" s="6">
        <v>-81.012666666666661</v>
      </c>
      <c r="D90" s="44">
        <v>0</v>
      </c>
      <c r="E90" s="30">
        <v>14.9</v>
      </c>
      <c r="F90" s="1">
        <v>0</v>
      </c>
      <c r="G90" s="1">
        <v>5</v>
      </c>
      <c r="H90" s="44">
        <v>0</v>
      </c>
      <c r="I90" s="44">
        <v>2.35</v>
      </c>
      <c r="J90" s="44">
        <v>6.1</v>
      </c>
      <c r="K90" s="44">
        <v>0</v>
      </c>
      <c r="L90" s="44">
        <v>0</v>
      </c>
      <c r="M90" s="44">
        <v>0.26256983240223464</v>
      </c>
      <c r="N90" s="44">
        <v>0.68156424581005581</v>
      </c>
      <c r="O90" s="44">
        <v>0</v>
      </c>
      <c r="P90" s="50">
        <v>0</v>
      </c>
      <c r="Q90" s="50">
        <v>3.8712010109078911</v>
      </c>
      <c r="R90" s="50">
        <v>4.8121843553724171</v>
      </c>
      <c r="S90" s="50">
        <v>0</v>
      </c>
    </row>
    <row r="91" spans="1:19" x14ac:dyDescent="0.25">
      <c r="A91" s="44">
        <v>2011</v>
      </c>
      <c r="B91" s="44">
        <v>1</v>
      </c>
      <c r="C91" s="6">
        <v>-81.473333333333329</v>
      </c>
      <c r="D91" s="44">
        <v>0</v>
      </c>
      <c r="E91" s="30">
        <v>10</v>
      </c>
      <c r="F91" s="1">
        <v>0</v>
      </c>
      <c r="G91" s="1">
        <v>5</v>
      </c>
      <c r="H91" s="44">
        <v>0</v>
      </c>
      <c r="I91" s="44">
        <v>53.45</v>
      </c>
      <c r="J91" s="44">
        <v>2.0499999999999998</v>
      </c>
      <c r="K91" s="44">
        <v>0</v>
      </c>
      <c r="L91" s="44">
        <v>0</v>
      </c>
      <c r="M91" s="44">
        <v>0.95531724754244862</v>
      </c>
      <c r="N91" s="44">
        <v>3.6639857015192137E-2</v>
      </c>
      <c r="O91" s="44">
        <v>0</v>
      </c>
      <c r="P91" s="50">
        <v>0</v>
      </c>
      <c r="Q91" s="50">
        <v>6.9754139274559517</v>
      </c>
      <c r="R91" s="50">
        <v>3.7376696182833684</v>
      </c>
      <c r="S91" s="50">
        <v>0</v>
      </c>
    </row>
    <row r="92" spans="1:19" x14ac:dyDescent="0.25">
      <c r="A92" s="44">
        <v>2011</v>
      </c>
      <c r="B92" s="44">
        <v>1</v>
      </c>
      <c r="C92" s="6">
        <v>-81.466333333333338</v>
      </c>
      <c r="D92" s="44">
        <v>0</v>
      </c>
      <c r="E92" s="30">
        <v>14.4</v>
      </c>
      <c r="F92" s="1">
        <v>0</v>
      </c>
      <c r="G92" s="1">
        <v>8</v>
      </c>
      <c r="H92" s="44">
        <v>0</v>
      </c>
      <c r="I92" s="44">
        <v>14.2</v>
      </c>
      <c r="J92" s="44">
        <v>5.3</v>
      </c>
      <c r="K92" s="44">
        <v>0</v>
      </c>
      <c r="L92" s="44">
        <v>0</v>
      </c>
      <c r="M92" s="44">
        <v>0.72448979591836737</v>
      </c>
      <c r="N92" s="44">
        <v>0.27040816326530615</v>
      </c>
      <c r="O92" s="44">
        <v>0</v>
      </c>
      <c r="P92" s="50">
        <v>0</v>
      </c>
      <c r="Q92" s="50">
        <v>5.6524891802686508</v>
      </c>
      <c r="R92" s="50">
        <v>4.6728288344619058</v>
      </c>
      <c r="S92" s="50">
        <v>0</v>
      </c>
    </row>
    <row r="93" spans="1:19" x14ac:dyDescent="0.25">
      <c r="A93" s="44">
        <v>2011</v>
      </c>
      <c r="B93" s="44">
        <v>1</v>
      </c>
      <c r="C93" s="6">
        <v>-81.439666666666668</v>
      </c>
      <c r="D93" s="44">
        <v>0</v>
      </c>
      <c r="E93" s="30">
        <v>19.2</v>
      </c>
      <c r="F93" s="1">
        <v>1</v>
      </c>
      <c r="G93" s="1">
        <v>13</v>
      </c>
      <c r="H93" s="44">
        <v>0</v>
      </c>
      <c r="I93" s="44">
        <v>0.8</v>
      </c>
      <c r="J93" s="44">
        <v>0.05</v>
      </c>
      <c r="K93" s="44">
        <v>0</v>
      </c>
      <c r="L93" s="44">
        <v>0</v>
      </c>
      <c r="M93" s="44">
        <v>0.88888888888888884</v>
      </c>
      <c r="N93" s="44">
        <v>5.5555555555555552E-2</v>
      </c>
      <c r="O93" s="44">
        <v>0</v>
      </c>
      <c r="P93" s="50">
        <v>0</v>
      </c>
      <c r="Q93" s="50">
        <v>2.8332133440562162</v>
      </c>
      <c r="R93" s="50">
        <v>0.69314718055994529</v>
      </c>
      <c r="S93" s="50">
        <v>0</v>
      </c>
    </row>
    <row r="94" spans="1:19" x14ac:dyDescent="0.25">
      <c r="A94" s="44">
        <v>2011</v>
      </c>
      <c r="B94" s="44">
        <v>1</v>
      </c>
      <c r="C94" s="6">
        <v>-81.433166666666665</v>
      </c>
      <c r="D94" s="44">
        <v>1</v>
      </c>
      <c r="E94" s="30">
        <v>20.6</v>
      </c>
      <c r="F94" s="1">
        <v>0</v>
      </c>
      <c r="G94" s="1">
        <v>11</v>
      </c>
      <c r="H94" s="44">
        <v>0.1</v>
      </c>
      <c r="I94" s="44">
        <v>0</v>
      </c>
      <c r="J94" s="44">
        <v>0.55000000000000004</v>
      </c>
      <c r="K94" s="44">
        <v>0</v>
      </c>
      <c r="L94" s="44">
        <v>0.14285714285714285</v>
      </c>
      <c r="M94" s="44">
        <v>0</v>
      </c>
      <c r="N94" s="44">
        <v>0.7857142857142857</v>
      </c>
      <c r="O94" s="44">
        <v>0</v>
      </c>
      <c r="P94" s="50">
        <v>1.0986122886681098</v>
      </c>
      <c r="Q94" s="50">
        <v>0</v>
      </c>
      <c r="R94" s="50">
        <v>2.4849066497880004</v>
      </c>
      <c r="S94" s="50">
        <v>0</v>
      </c>
    </row>
    <row r="95" spans="1:19" x14ac:dyDescent="0.25">
      <c r="A95" s="44">
        <v>2011</v>
      </c>
      <c r="B95" s="44">
        <v>1</v>
      </c>
      <c r="C95" s="6">
        <v>-81.445333333333338</v>
      </c>
      <c r="D95" s="44">
        <v>1</v>
      </c>
      <c r="E95" s="30">
        <v>19.7</v>
      </c>
      <c r="F95" s="1">
        <v>0</v>
      </c>
      <c r="G95" s="1">
        <v>5</v>
      </c>
      <c r="H95" s="44">
        <v>0.1</v>
      </c>
      <c r="I95" s="44">
        <v>0</v>
      </c>
      <c r="J95" s="44">
        <v>1.55</v>
      </c>
      <c r="K95" s="44">
        <v>0</v>
      </c>
      <c r="L95" s="44">
        <v>5.8823529411764705E-2</v>
      </c>
      <c r="M95" s="44">
        <v>0</v>
      </c>
      <c r="N95" s="44">
        <v>0.91176470588235292</v>
      </c>
      <c r="O95" s="44">
        <v>0</v>
      </c>
      <c r="P95" s="50">
        <v>1.0986122886681098</v>
      </c>
      <c r="Q95" s="50">
        <v>0</v>
      </c>
      <c r="R95" s="50">
        <v>3.4657359027997265</v>
      </c>
      <c r="S95" s="50">
        <v>0</v>
      </c>
    </row>
    <row r="96" spans="1:19" x14ac:dyDescent="0.25">
      <c r="A96" s="44">
        <v>2011</v>
      </c>
      <c r="B96" s="44">
        <v>1</v>
      </c>
      <c r="C96" s="6">
        <v>-81.373000000000005</v>
      </c>
      <c r="D96" s="44">
        <v>1</v>
      </c>
      <c r="E96" s="30">
        <v>22.6</v>
      </c>
      <c r="F96" s="1">
        <v>1</v>
      </c>
      <c r="G96" s="1">
        <v>16</v>
      </c>
      <c r="H96" s="44">
        <v>0</v>
      </c>
      <c r="I96" s="44">
        <v>0.8</v>
      </c>
      <c r="J96" s="44">
        <v>0</v>
      </c>
      <c r="K96" s="44">
        <v>0</v>
      </c>
      <c r="L96" s="44">
        <v>0</v>
      </c>
      <c r="M96" s="44">
        <v>1</v>
      </c>
      <c r="N96" s="44">
        <v>0</v>
      </c>
      <c r="O96" s="44">
        <v>0</v>
      </c>
      <c r="P96" s="50">
        <v>0</v>
      </c>
      <c r="Q96" s="50">
        <v>2.8332133440562162</v>
      </c>
      <c r="R96" s="50">
        <v>0</v>
      </c>
      <c r="S96" s="50">
        <v>0</v>
      </c>
    </row>
    <row r="97" spans="1:19" x14ac:dyDescent="0.25">
      <c r="A97" s="44">
        <v>2011</v>
      </c>
      <c r="B97" s="44">
        <v>1</v>
      </c>
      <c r="C97" s="6">
        <v>-81.366</v>
      </c>
      <c r="D97" s="44">
        <v>1</v>
      </c>
      <c r="E97" s="30">
        <v>22.8</v>
      </c>
      <c r="F97" s="21">
        <v>1</v>
      </c>
      <c r="G97" s="21">
        <v>13</v>
      </c>
      <c r="H97" s="44">
        <v>0.25</v>
      </c>
      <c r="I97" s="44">
        <v>0.2</v>
      </c>
      <c r="J97" s="44">
        <v>0.25</v>
      </c>
      <c r="K97" s="44">
        <v>0</v>
      </c>
      <c r="L97" s="44">
        <v>0.35714285714285715</v>
      </c>
      <c r="M97" s="44">
        <v>0.2857142857142857</v>
      </c>
      <c r="N97" s="44">
        <v>0.35714285714285715</v>
      </c>
      <c r="O97" s="44">
        <v>0</v>
      </c>
      <c r="P97" s="50">
        <v>1.791759469228055</v>
      </c>
      <c r="Q97" s="50">
        <v>1.6094379124341003</v>
      </c>
      <c r="R97" s="50">
        <v>1.791759469228055</v>
      </c>
      <c r="S97" s="50">
        <v>0</v>
      </c>
    </row>
    <row r="98" spans="1:19" x14ac:dyDescent="0.25">
      <c r="A98" s="44">
        <v>2011</v>
      </c>
      <c r="B98" s="44">
        <v>1</v>
      </c>
      <c r="C98" s="6">
        <v>-81.367999999999995</v>
      </c>
      <c r="D98" s="44">
        <v>1</v>
      </c>
      <c r="E98" s="30">
        <v>22.8</v>
      </c>
      <c r="F98" s="1">
        <v>0</v>
      </c>
      <c r="G98" s="1">
        <v>10</v>
      </c>
      <c r="H98" s="44">
        <v>0</v>
      </c>
      <c r="I98" s="44">
        <v>0</v>
      </c>
      <c r="J98" s="44">
        <v>0.8</v>
      </c>
      <c r="K98" s="44">
        <v>0</v>
      </c>
      <c r="L98" s="44">
        <v>0</v>
      </c>
      <c r="M98" s="44">
        <v>0</v>
      </c>
      <c r="N98" s="44">
        <v>0.88888888888888884</v>
      </c>
      <c r="O98" s="44">
        <v>0</v>
      </c>
      <c r="P98" s="50">
        <v>0</v>
      </c>
      <c r="Q98" s="50">
        <v>0</v>
      </c>
      <c r="R98" s="50">
        <v>2.8332133440562162</v>
      </c>
      <c r="S98" s="50">
        <v>0</v>
      </c>
    </row>
    <row r="99" spans="1:19" x14ac:dyDescent="0.25">
      <c r="A99" s="44">
        <v>2011</v>
      </c>
      <c r="B99" s="44">
        <v>1</v>
      </c>
      <c r="C99" s="6">
        <v>-81.356166666666667</v>
      </c>
      <c r="D99" s="44">
        <v>1</v>
      </c>
      <c r="E99" s="30">
        <v>22.6</v>
      </c>
      <c r="F99" s="1">
        <v>0</v>
      </c>
      <c r="G99" s="1">
        <v>5</v>
      </c>
      <c r="H99" s="44">
        <v>0</v>
      </c>
      <c r="I99" s="44">
        <v>0</v>
      </c>
      <c r="J99" s="44">
        <v>2.15</v>
      </c>
      <c r="K99" s="44">
        <v>0</v>
      </c>
      <c r="L99" s="44">
        <v>0</v>
      </c>
      <c r="M99" s="44">
        <v>0</v>
      </c>
      <c r="N99" s="44">
        <v>1</v>
      </c>
      <c r="O99" s="44">
        <v>0</v>
      </c>
      <c r="P99" s="50">
        <v>0</v>
      </c>
      <c r="Q99" s="50">
        <v>0</v>
      </c>
      <c r="R99" s="50">
        <v>3.784189633918261</v>
      </c>
      <c r="S99" s="50">
        <v>0</v>
      </c>
    </row>
    <row r="100" spans="1:19" x14ac:dyDescent="0.25">
      <c r="A100" s="44">
        <v>2011</v>
      </c>
      <c r="B100" s="44">
        <v>0</v>
      </c>
      <c r="C100" s="6">
        <v>-81.829666666666668</v>
      </c>
      <c r="D100" s="44">
        <v>0</v>
      </c>
      <c r="E100" s="30">
        <v>11.9</v>
      </c>
      <c r="F100" s="1">
        <v>0</v>
      </c>
      <c r="G100" s="1">
        <v>7</v>
      </c>
      <c r="H100" s="44">
        <v>0</v>
      </c>
      <c r="I100" s="44">
        <v>22.55</v>
      </c>
      <c r="J100" s="44">
        <v>3.15</v>
      </c>
      <c r="K100" s="44">
        <v>0</v>
      </c>
      <c r="L100" s="44">
        <v>0</v>
      </c>
      <c r="M100" s="44">
        <v>0.87403100775193798</v>
      </c>
      <c r="N100" s="44">
        <v>0.12209302325581395</v>
      </c>
      <c r="O100" s="44">
        <v>0</v>
      </c>
      <c r="P100" s="50">
        <v>0</v>
      </c>
      <c r="Q100" s="50">
        <v>6.1136821798322316</v>
      </c>
      <c r="R100" s="50">
        <v>4.1588830833596715</v>
      </c>
      <c r="S100" s="50">
        <v>0</v>
      </c>
    </row>
    <row r="101" spans="1:19" x14ac:dyDescent="0.25">
      <c r="A101" s="44">
        <v>2011</v>
      </c>
      <c r="B101" s="44">
        <v>0</v>
      </c>
      <c r="C101" s="6">
        <v>-81.825166666666661</v>
      </c>
      <c r="D101" s="44">
        <v>0</v>
      </c>
      <c r="E101" s="30">
        <v>17.3</v>
      </c>
      <c r="F101" s="1">
        <v>0</v>
      </c>
      <c r="G101" s="1">
        <v>5</v>
      </c>
      <c r="H101" s="44">
        <v>0</v>
      </c>
      <c r="I101" s="44">
        <v>0.5</v>
      </c>
      <c r="J101" s="44">
        <v>126.7</v>
      </c>
      <c r="K101" s="44">
        <v>0</v>
      </c>
      <c r="L101" s="44">
        <v>0</v>
      </c>
      <c r="M101" s="44">
        <v>3.927729772191673E-3</v>
      </c>
      <c r="N101" s="44">
        <v>0.99528672427336995</v>
      </c>
      <c r="O101" s="44">
        <v>0</v>
      </c>
      <c r="P101" s="50">
        <v>0</v>
      </c>
      <c r="Q101" s="50">
        <v>2.3978952727983707</v>
      </c>
      <c r="R101" s="50">
        <v>7.8379489160252831</v>
      </c>
      <c r="S101" s="50">
        <v>0</v>
      </c>
    </row>
    <row r="102" spans="1:19" x14ac:dyDescent="0.25">
      <c r="A102" s="44">
        <v>2011</v>
      </c>
      <c r="B102" s="44">
        <v>0</v>
      </c>
      <c r="C102" s="6">
        <v>-81.811666666666667</v>
      </c>
      <c r="D102" s="44">
        <v>1</v>
      </c>
      <c r="E102" s="30">
        <v>19.8</v>
      </c>
      <c r="F102" s="1">
        <v>0</v>
      </c>
      <c r="G102" s="1">
        <v>5</v>
      </c>
      <c r="H102" s="44">
        <v>0</v>
      </c>
      <c r="I102" s="44">
        <v>0</v>
      </c>
      <c r="J102" s="44">
        <v>27.65</v>
      </c>
      <c r="K102" s="44">
        <v>0.05</v>
      </c>
      <c r="L102" s="44">
        <v>0</v>
      </c>
      <c r="M102" s="44">
        <v>0</v>
      </c>
      <c r="N102" s="44">
        <v>0.99639639639639643</v>
      </c>
      <c r="O102" s="44">
        <v>1.8018018018018018E-3</v>
      </c>
      <c r="P102" s="50">
        <v>0</v>
      </c>
      <c r="Q102" s="50">
        <v>0</v>
      </c>
      <c r="R102" s="50">
        <v>6.3171646867472839</v>
      </c>
      <c r="S102" s="50">
        <v>0.69314718055994529</v>
      </c>
    </row>
    <row r="103" spans="1:19" x14ac:dyDescent="0.25">
      <c r="A103" s="44">
        <v>2011</v>
      </c>
      <c r="B103" s="44">
        <v>0</v>
      </c>
      <c r="C103" s="6">
        <v>-81.80416666666666</v>
      </c>
      <c r="D103" s="44">
        <v>1</v>
      </c>
      <c r="E103" s="30">
        <v>20.7</v>
      </c>
      <c r="F103" s="47">
        <v>0</v>
      </c>
      <c r="G103" s="21">
        <v>8</v>
      </c>
      <c r="H103" s="44">
        <v>0.3</v>
      </c>
      <c r="I103" s="44">
        <v>0.15</v>
      </c>
      <c r="J103" s="44">
        <v>40.9</v>
      </c>
      <c r="K103" s="44">
        <v>0</v>
      </c>
      <c r="L103" s="44">
        <v>7.2289156626506026E-3</v>
      </c>
      <c r="M103" s="44">
        <v>3.6144578313253013E-3</v>
      </c>
      <c r="N103" s="44">
        <v>0.98554216867469879</v>
      </c>
      <c r="O103" s="44">
        <v>0</v>
      </c>
      <c r="P103" s="50">
        <v>1.9459101490553132</v>
      </c>
      <c r="Q103" s="50">
        <v>1.3862943611198906</v>
      </c>
      <c r="R103" s="50">
        <v>6.7080840838530698</v>
      </c>
      <c r="S103" s="50">
        <v>0</v>
      </c>
    </row>
    <row r="104" spans="1:19" x14ac:dyDescent="0.25">
      <c r="A104" s="44">
        <v>2011</v>
      </c>
      <c r="B104" s="44">
        <v>0</v>
      </c>
      <c r="C104" s="6">
        <v>-81.80716666666666</v>
      </c>
      <c r="D104" s="44">
        <v>1</v>
      </c>
      <c r="E104" s="30">
        <v>20</v>
      </c>
      <c r="F104" s="47">
        <v>0</v>
      </c>
      <c r="G104" s="1">
        <v>7</v>
      </c>
      <c r="H104" s="44">
        <v>0.9</v>
      </c>
      <c r="I104" s="44">
        <v>0</v>
      </c>
      <c r="J104" s="44">
        <v>86.65</v>
      </c>
      <c r="K104" s="44">
        <v>0.05</v>
      </c>
      <c r="L104" s="44">
        <v>1.023308698123934E-2</v>
      </c>
      <c r="M104" s="44">
        <v>0</v>
      </c>
      <c r="N104" s="44">
        <v>0.9852188743604321</v>
      </c>
      <c r="O104" s="44">
        <v>5.6850483229107444E-4</v>
      </c>
      <c r="P104" s="50">
        <v>2.9444389791664403</v>
      </c>
      <c r="Q104" s="50">
        <v>0</v>
      </c>
      <c r="R104" s="50">
        <v>7.4581861573404868</v>
      </c>
      <c r="S104" s="50">
        <v>0.69314718055994529</v>
      </c>
    </row>
    <row r="105" spans="1:19" x14ac:dyDescent="0.25">
      <c r="A105" s="44">
        <v>2011</v>
      </c>
      <c r="B105" s="44">
        <v>0</v>
      </c>
      <c r="C105" s="6">
        <v>-82.13933333333334</v>
      </c>
      <c r="D105" s="44">
        <v>1</v>
      </c>
      <c r="E105" s="30">
        <v>21.9</v>
      </c>
      <c r="F105" s="1">
        <v>0</v>
      </c>
      <c r="G105" s="1">
        <v>15</v>
      </c>
      <c r="H105" s="44">
        <v>0</v>
      </c>
      <c r="I105" s="44">
        <v>1.1499999999999999</v>
      </c>
      <c r="J105" s="44">
        <v>11.4</v>
      </c>
      <c r="K105" s="44">
        <v>0</v>
      </c>
      <c r="L105" s="44">
        <v>0</v>
      </c>
      <c r="M105" s="44">
        <v>9.1633466135458169E-2</v>
      </c>
      <c r="N105" s="44">
        <v>0.9083665338645418</v>
      </c>
      <c r="O105" s="44">
        <v>0</v>
      </c>
      <c r="P105" s="50">
        <v>0</v>
      </c>
      <c r="Q105" s="50">
        <v>3.1780538303479458</v>
      </c>
      <c r="R105" s="50">
        <v>5.43372200355424</v>
      </c>
      <c r="S105" s="50">
        <v>0</v>
      </c>
    </row>
    <row r="106" spans="1:19" x14ac:dyDescent="0.25">
      <c r="A106" s="44">
        <v>2011</v>
      </c>
      <c r="B106" s="44">
        <v>0</v>
      </c>
      <c r="C106" s="6">
        <v>-82.13966666666667</v>
      </c>
      <c r="D106" s="44">
        <v>1</v>
      </c>
      <c r="E106" s="30">
        <v>21.9</v>
      </c>
      <c r="F106" s="1">
        <v>0</v>
      </c>
      <c r="G106" s="1">
        <v>5</v>
      </c>
      <c r="H106" s="44">
        <v>0.05</v>
      </c>
      <c r="I106" s="44">
        <v>0</v>
      </c>
      <c r="J106" s="44">
        <v>12.15</v>
      </c>
      <c r="K106" s="44">
        <v>0</v>
      </c>
      <c r="L106" s="44">
        <v>4.0816326530612249E-3</v>
      </c>
      <c r="M106" s="44">
        <v>0</v>
      </c>
      <c r="N106" s="44">
        <v>0.99183673469387756</v>
      </c>
      <c r="O106" s="44">
        <v>0</v>
      </c>
      <c r="P106" s="50">
        <v>0.69314718055994529</v>
      </c>
      <c r="Q106" s="50">
        <v>0</v>
      </c>
      <c r="R106" s="50">
        <v>5.4971682252932021</v>
      </c>
      <c r="S106" s="50">
        <v>0</v>
      </c>
    </row>
    <row r="107" spans="1:19" x14ac:dyDescent="0.25">
      <c r="A107" s="44">
        <v>2011</v>
      </c>
      <c r="B107" s="44">
        <v>0</v>
      </c>
      <c r="C107" s="6">
        <v>-82.214833333333331</v>
      </c>
      <c r="D107" s="44">
        <v>1</v>
      </c>
      <c r="E107" s="30">
        <v>21.1</v>
      </c>
      <c r="F107" s="21">
        <v>0</v>
      </c>
      <c r="G107" s="21">
        <v>14</v>
      </c>
      <c r="H107" s="44">
        <v>0.3</v>
      </c>
      <c r="I107" s="44">
        <v>0.2</v>
      </c>
      <c r="J107" s="44">
        <v>1.05</v>
      </c>
      <c r="K107" s="44">
        <v>0.05</v>
      </c>
      <c r="L107" s="44">
        <v>0.18181818181818182</v>
      </c>
      <c r="M107" s="44">
        <v>0.12121212121212122</v>
      </c>
      <c r="N107" s="44">
        <v>0.63636363636363635</v>
      </c>
      <c r="O107" s="44">
        <v>3.0303030303030304E-2</v>
      </c>
      <c r="P107" s="50">
        <v>1.9459101490553132</v>
      </c>
      <c r="Q107" s="50">
        <v>1.6094379124341003</v>
      </c>
      <c r="R107" s="50">
        <v>3.0910424533583161</v>
      </c>
      <c r="S107" s="50">
        <v>0.69314718055994529</v>
      </c>
    </row>
    <row r="108" spans="1:19" x14ac:dyDescent="0.25">
      <c r="A108" s="44">
        <v>2011</v>
      </c>
      <c r="B108" s="44">
        <v>0</v>
      </c>
      <c r="C108" s="6">
        <v>-82.217666666666673</v>
      </c>
      <c r="D108" s="44">
        <v>1</v>
      </c>
      <c r="E108" s="30">
        <v>21.2</v>
      </c>
      <c r="F108" s="47">
        <v>0</v>
      </c>
      <c r="G108" s="1">
        <v>5</v>
      </c>
      <c r="H108" s="44">
        <v>0</v>
      </c>
      <c r="I108" s="44">
        <v>0</v>
      </c>
      <c r="J108" s="44">
        <v>8.4499999999999993</v>
      </c>
      <c r="K108" s="44">
        <v>0</v>
      </c>
      <c r="L108" s="44">
        <v>0</v>
      </c>
      <c r="M108" s="44">
        <v>0</v>
      </c>
      <c r="N108" s="44">
        <v>0.96022727272727271</v>
      </c>
      <c r="O108" s="44">
        <v>0</v>
      </c>
      <c r="P108" s="50">
        <v>0</v>
      </c>
      <c r="Q108" s="50">
        <v>0</v>
      </c>
      <c r="R108" s="50">
        <v>5.1357984370502621</v>
      </c>
      <c r="S108" s="50">
        <v>0</v>
      </c>
    </row>
    <row r="109" spans="1:19" x14ac:dyDescent="0.25">
      <c r="A109" s="44">
        <v>2011</v>
      </c>
      <c r="B109" s="44">
        <v>0</v>
      </c>
      <c r="C109" s="6">
        <v>-82.26</v>
      </c>
      <c r="D109" s="44">
        <v>0</v>
      </c>
      <c r="E109" s="30">
        <v>12.7</v>
      </c>
      <c r="F109" s="47">
        <v>0</v>
      </c>
      <c r="G109" s="1">
        <v>6</v>
      </c>
      <c r="H109" s="44">
        <v>0</v>
      </c>
      <c r="I109" s="44">
        <v>0.35</v>
      </c>
      <c r="J109" s="44">
        <v>156</v>
      </c>
      <c r="K109" s="44">
        <v>0</v>
      </c>
      <c r="L109" s="44">
        <v>0</v>
      </c>
      <c r="M109" s="44">
        <v>2.2335673261008296E-3</v>
      </c>
      <c r="N109" s="44">
        <v>0.99553286534779839</v>
      </c>
      <c r="O109" s="44">
        <v>0</v>
      </c>
      <c r="P109" s="50">
        <v>0</v>
      </c>
      <c r="Q109" s="50">
        <v>2.0794415416798357</v>
      </c>
      <c r="R109" s="50">
        <v>8.0459087422707789</v>
      </c>
      <c r="S109" s="50">
        <v>0</v>
      </c>
    </row>
    <row r="110" spans="1:19" x14ac:dyDescent="0.25">
      <c r="A110" s="44">
        <v>2012</v>
      </c>
      <c r="B110" s="44">
        <v>0</v>
      </c>
      <c r="C110" s="6">
        <v>-81.89233333333334</v>
      </c>
      <c r="D110" s="44">
        <v>1</v>
      </c>
      <c r="E110" s="40">
        <v>22.86</v>
      </c>
      <c r="F110" s="1">
        <v>1</v>
      </c>
      <c r="G110" s="1">
        <v>14</v>
      </c>
      <c r="H110" s="44">
        <v>3.3</v>
      </c>
      <c r="I110" s="44">
        <v>7.1</v>
      </c>
      <c r="J110" s="44">
        <v>5.8</v>
      </c>
      <c r="K110" s="44">
        <v>2.25</v>
      </c>
      <c r="L110" s="44">
        <v>0.17460317460317459</v>
      </c>
      <c r="M110" s="44">
        <v>0.37566137566137564</v>
      </c>
      <c r="N110" s="44">
        <v>0.30687830687830686</v>
      </c>
      <c r="O110" s="44">
        <v>0.11904761904761904</v>
      </c>
      <c r="P110" s="50">
        <v>4.2046926193909657</v>
      </c>
      <c r="Q110" s="50">
        <v>4.962844630259907</v>
      </c>
      <c r="R110" s="50">
        <v>4.7621739347977563</v>
      </c>
      <c r="S110" s="50">
        <v>3.8286413964890951</v>
      </c>
    </row>
    <row r="111" spans="1:19" x14ac:dyDescent="0.25">
      <c r="A111" s="44">
        <v>2012</v>
      </c>
      <c r="B111" s="44">
        <v>0</v>
      </c>
      <c r="C111" s="6">
        <v>-81.859499999999997</v>
      </c>
      <c r="D111" s="44">
        <v>1</v>
      </c>
      <c r="E111" s="40">
        <v>21.945600000000002</v>
      </c>
      <c r="F111" s="1">
        <v>0</v>
      </c>
      <c r="G111" s="1">
        <v>10</v>
      </c>
      <c r="H111" s="44">
        <v>0.1</v>
      </c>
      <c r="I111" s="44">
        <v>0.1</v>
      </c>
      <c r="J111" s="44">
        <v>2</v>
      </c>
      <c r="K111" s="44">
        <v>0.1</v>
      </c>
      <c r="L111" s="44">
        <v>2.2222222222222223E-2</v>
      </c>
      <c r="M111" s="44">
        <v>2.2222222222222223E-2</v>
      </c>
      <c r="N111" s="44">
        <v>0.44444444444444442</v>
      </c>
      <c r="O111" s="44">
        <v>2.2222222222222223E-2</v>
      </c>
      <c r="P111" s="50">
        <v>1.0986122886681098</v>
      </c>
      <c r="Q111" s="50">
        <v>1.0986122886681098</v>
      </c>
      <c r="R111" s="50">
        <v>3.713572066704308</v>
      </c>
      <c r="S111" s="50">
        <v>1.0986122886681098</v>
      </c>
    </row>
    <row r="112" spans="1:19" x14ac:dyDescent="0.25">
      <c r="A112" s="44">
        <v>2012</v>
      </c>
      <c r="B112" s="44">
        <v>0</v>
      </c>
      <c r="C112" s="6">
        <v>-81.826166666666666</v>
      </c>
      <c r="D112" s="44">
        <v>1</v>
      </c>
      <c r="E112" s="40">
        <v>21.031200000000002</v>
      </c>
      <c r="F112" s="1">
        <v>0</v>
      </c>
      <c r="G112" s="1">
        <v>3</v>
      </c>
      <c r="H112" s="44">
        <v>0</v>
      </c>
      <c r="I112" s="44">
        <v>0</v>
      </c>
      <c r="J112" s="44">
        <v>11.65</v>
      </c>
      <c r="K112" s="44">
        <v>0.1</v>
      </c>
      <c r="L112" s="44">
        <v>0</v>
      </c>
      <c r="M112" s="44">
        <v>0</v>
      </c>
      <c r="N112" s="44">
        <v>0.82624113475177308</v>
      </c>
      <c r="O112" s="44">
        <v>7.0921985815602835E-3</v>
      </c>
      <c r="P112" s="50">
        <v>0</v>
      </c>
      <c r="Q112" s="50">
        <v>0</v>
      </c>
      <c r="R112" s="50">
        <v>5.4553211153577017</v>
      </c>
      <c r="S112" s="50">
        <v>1.0986122886681098</v>
      </c>
    </row>
    <row r="113" spans="1:19" x14ac:dyDescent="0.25">
      <c r="A113" s="44">
        <v>2012</v>
      </c>
      <c r="B113" s="44">
        <v>1</v>
      </c>
      <c r="C113" s="6">
        <v>-81.404666666666671</v>
      </c>
      <c r="D113" s="44">
        <v>1</v>
      </c>
      <c r="E113" s="40">
        <v>20.421600000000002</v>
      </c>
      <c r="F113" s="1">
        <v>0</v>
      </c>
      <c r="G113" s="1">
        <v>9</v>
      </c>
      <c r="H113" s="44">
        <v>0.6</v>
      </c>
      <c r="I113" s="44">
        <v>0.05</v>
      </c>
      <c r="J113" s="44">
        <v>0.4</v>
      </c>
      <c r="K113" s="44">
        <v>0.1</v>
      </c>
      <c r="L113" s="44">
        <v>0.42857142857142855</v>
      </c>
      <c r="M113" s="44">
        <v>3.5714285714285712E-2</v>
      </c>
      <c r="N113" s="44">
        <v>0.2857142857142857</v>
      </c>
      <c r="O113" s="44">
        <v>7.1428571428571425E-2</v>
      </c>
      <c r="P113" s="50">
        <v>2.5649493574615367</v>
      </c>
      <c r="Q113" s="50">
        <v>0.69314718055994529</v>
      </c>
      <c r="R113" s="50">
        <v>2.1972245773362196</v>
      </c>
      <c r="S113" s="50">
        <v>1.0986122886681098</v>
      </c>
    </row>
    <row r="114" spans="1:19" x14ac:dyDescent="0.25">
      <c r="A114" s="44">
        <v>2012</v>
      </c>
      <c r="B114" s="44">
        <v>1</v>
      </c>
      <c r="C114" s="6">
        <v>-81.425666666666672</v>
      </c>
      <c r="D114" s="44">
        <v>1</v>
      </c>
      <c r="E114" s="40">
        <v>21.640800000000002</v>
      </c>
      <c r="F114" s="1">
        <v>1</v>
      </c>
      <c r="G114" s="1">
        <v>17</v>
      </c>
      <c r="H114" s="44">
        <v>0</v>
      </c>
      <c r="I114" s="44">
        <v>0.2</v>
      </c>
      <c r="J114" s="44">
        <v>0</v>
      </c>
      <c r="K114" s="44">
        <v>0.1</v>
      </c>
      <c r="L114" s="44">
        <v>0</v>
      </c>
      <c r="M114" s="44">
        <v>1.5209125475285171E-2</v>
      </c>
      <c r="N114" s="44">
        <v>0</v>
      </c>
      <c r="O114" s="44">
        <v>7.6045627376425855E-3</v>
      </c>
      <c r="P114" s="50">
        <v>0</v>
      </c>
      <c r="Q114" s="50">
        <v>1.6094379124341003</v>
      </c>
      <c r="R114" s="50">
        <v>0</v>
      </c>
      <c r="S114" s="50">
        <v>1.0986122886681098</v>
      </c>
    </row>
    <row r="115" spans="1:19" x14ac:dyDescent="0.25">
      <c r="A115" s="44">
        <v>2012</v>
      </c>
      <c r="B115" s="44">
        <v>1</v>
      </c>
      <c r="C115" s="6">
        <v>-81.445999999999998</v>
      </c>
      <c r="D115" s="44">
        <v>1</v>
      </c>
      <c r="E115" s="40">
        <v>22.250400000000003</v>
      </c>
      <c r="F115" s="1">
        <v>0</v>
      </c>
      <c r="G115" s="1">
        <v>5</v>
      </c>
      <c r="H115" s="44">
        <v>0.05</v>
      </c>
      <c r="I115" s="44">
        <v>0</v>
      </c>
      <c r="J115" s="44">
        <v>10.95</v>
      </c>
      <c r="K115" s="44">
        <v>0</v>
      </c>
      <c r="L115" s="44">
        <v>4.3859649122807015E-3</v>
      </c>
      <c r="M115" s="44">
        <v>0</v>
      </c>
      <c r="N115" s="44">
        <v>0.96052631578947367</v>
      </c>
      <c r="O115" s="44">
        <v>0</v>
      </c>
      <c r="P115" s="50">
        <v>0.69314718055994529</v>
      </c>
      <c r="Q115" s="50">
        <v>0</v>
      </c>
      <c r="R115" s="50">
        <v>5.393627546352362</v>
      </c>
      <c r="S115" s="50">
        <v>0</v>
      </c>
    </row>
    <row r="116" spans="1:19" x14ac:dyDescent="0.25">
      <c r="A116" s="44">
        <v>2012</v>
      </c>
      <c r="B116" s="44">
        <v>1</v>
      </c>
      <c r="C116" s="6">
        <v>-80.921666666666667</v>
      </c>
      <c r="D116" s="44">
        <v>1</v>
      </c>
      <c r="E116" s="45">
        <v>21.3</v>
      </c>
      <c r="F116" s="1">
        <v>1</v>
      </c>
      <c r="G116" s="1">
        <v>13</v>
      </c>
      <c r="H116" s="44">
        <v>0.1</v>
      </c>
      <c r="I116" s="44">
        <v>0.5</v>
      </c>
      <c r="J116" s="44">
        <v>0.4</v>
      </c>
      <c r="K116" s="44">
        <v>0</v>
      </c>
      <c r="L116" s="44">
        <v>0.1</v>
      </c>
      <c r="M116" s="44">
        <v>0.5</v>
      </c>
      <c r="N116" s="44">
        <v>0.4</v>
      </c>
      <c r="O116" s="44">
        <v>0</v>
      </c>
      <c r="P116" s="50">
        <v>1.0986122886681098</v>
      </c>
      <c r="Q116" s="50">
        <v>2.3978952727983707</v>
      </c>
      <c r="R116" s="50">
        <v>2.1972245773362196</v>
      </c>
      <c r="S116" s="50">
        <v>0</v>
      </c>
    </row>
    <row r="117" spans="1:19" x14ac:dyDescent="0.25">
      <c r="A117" s="44">
        <v>2012</v>
      </c>
      <c r="B117" s="44">
        <v>1</v>
      </c>
      <c r="C117" s="6">
        <v>-80.938000000000002</v>
      </c>
      <c r="D117" s="44">
        <v>1</v>
      </c>
      <c r="E117" s="45">
        <v>20.6</v>
      </c>
      <c r="F117" s="1">
        <v>1</v>
      </c>
      <c r="G117" s="1">
        <v>13</v>
      </c>
      <c r="H117" s="44">
        <v>2.7</v>
      </c>
      <c r="I117" s="44">
        <v>1.25</v>
      </c>
      <c r="J117" s="44">
        <v>0.3</v>
      </c>
      <c r="K117" s="44">
        <v>0</v>
      </c>
      <c r="L117" s="44">
        <v>0.61363636363636365</v>
      </c>
      <c r="M117" s="44">
        <v>0.28409090909090912</v>
      </c>
      <c r="N117" s="44">
        <v>6.8181818181818177E-2</v>
      </c>
      <c r="O117" s="44">
        <v>0</v>
      </c>
      <c r="P117" s="50">
        <v>4.0073331852324712</v>
      </c>
      <c r="Q117" s="50">
        <v>3.2580965380214821</v>
      </c>
      <c r="R117" s="50">
        <v>1.9459101490553132</v>
      </c>
      <c r="S117" s="50">
        <v>0</v>
      </c>
    </row>
    <row r="118" spans="1:19" x14ac:dyDescent="0.25">
      <c r="A118" s="44">
        <v>2012</v>
      </c>
      <c r="B118" s="44">
        <v>1</v>
      </c>
      <c r="C118" s="6">
        <v>-80.93783333333333</v>
      </c>
      <c r="D118" s="44">
        <v>1</v>
      </c>
      <c r="E118" s="45">
        <v>20.6</v>
      </c>
      <c r="F118" s="1">
        <v>1</v>
      </c>
      <c r="G118" s="1">
        <v>15</v>
      </c>
      <c r="H118" s="44">
        <v>0.9</v>
      </c>
      <c r="I118" s="44">
        <v>5.55</v>
      </c>
      <c r="J118" s="44">
        <v>0.4</v>
      </c>
      <c r="K118" s="44">
        <v>0.05</v>
      </c>
      <c r="L118" s="44">
        <v>0.12949640287769784</v>
      </c>
      <c r="M118" s="44">
        <v>0.79856115107913672</v>
      </c>
      <c r="N118" s="44">
        <v>5.7553956834532377E-2</v>
      </c>
      <c r="O118" s="44">
        <v>7.1942446043165471E-3</v>
      </c>
      <c r="P118" s="50">
        <v>2.9444389791664403</v>
      </c>
      <c r="Q118" s="50">
        <v>4.7184988712950942</v>
      </c>
      <c r="R118" s="50">
        <v>2.1972245773362196</v>
      </c>
      <c r="S118" s="50">
        <v>0.69314718055994529</v>
      </c>
    </row>
    <row r="119" spans="1:19" x14ac:dyDescent="0.25">
      <c r="A119" s="44">
        <v>2012</v>
      </c>
      <c r="B119" s="44">
        <v>1</v>
      </c>
      <c r="C119" s="6">
        <v>-80.944166666666661</v>
      </c>
      <c r="D119" s="44">
        <v>1</v>
      </c>
      <c r="E119" s="45">
        <v>20.6</v>
      </c>
      <c r="F119" s="1">
        <v>0</v>
      </c>
      <c r="G119" s="1">
        <v>9</v>
      </c>
      <c r="H119" s="44">
        <v>0</v>
      </c>
      <c r="I119" s="44">
        <v>0</v>
      </c>
      <c r="J119" s="44">
        <v>2.6</v>
      </c>
      <c r="K119" s="44">
        <v>0.1</v>
      </c>
      <c r="L119" s="44">
        <v>0</v>
      </c>
      <c r="M119" s="44">
        <v>0</v>
      </c>
      <c r="N119" s="44">
        <v>0.94545454545454544</v>
      </c>
      <c r="O119" s="44">
        <v>3.6363636363636362E-2</v>
      </c>
      <c r="P119" s="50">
        <v>0</v>
      </c>
      <c r="Q119" s="50">
        <v>0</v>
      </c>
      <c r="R119" s="50">
        <v>3.970291913552122</v>
      </c>
      <c r="S119" s="50">
        <v>1.0986122886681098</v>
      </c>
    </row>
    <row r="120" spans="1:19" x14ac:dyDescent="0.25">
      <c r="A120" s="44">
        <v>2012</v>
      </c>
      <c r="B120" s="44">
        <v>1</v>
      </c>
      <c r="C120" s="6">
        <v>-80.971000000000004</v>
      </c>
      <c r="D120" s="44">
        <v>0</v>
      </c>
      <c r="E120" s="45">
        <v>18.2</v>
      </c>
      <c r="F120" s="1">
        <v>1</v>
      </c>
      <c r="G120" s="1">
        <v>13</v>
      </c>
      <c r="H120" s="44">
        <v>16.05</v>
      </c>
      <c r="I120" s="44">
        <v>0</v>
      </c>
      <c r="J120" s="44">
        <v>0.7</v>
      </c>
      <c r="K120" s="44">
        <v>0.45</v>
      </c>
      <c r="L120" s="44">
        <v>0.9250720461095101</v>
      </c>
      <c r="M120" s="44">
        <v>0</v>
      </c>
      <c r="N120" s="44">
        <v>4.0345821325648415E-2</v>
      </c>
      <c r="O120" s="44">
        <v>2.5936599423631124E-2</v>
      </c>
      <c r="P120" s="50">
        <v>5.7745515455444085</v>
      </c>
      <c r="Q120" s="50">
        <v>0</v>
      </c>
      <c r="R120" s="50">
        <v>2.7080502011022101</v>
      </c>
      <c r="S120" s="50">
        <v>2.3025850929940459</v>
      </c>
    </row>
    <row r="121" spans="1:19" x14ac:dyDescent="0.25">
      <c r="A121" s="44">
        <v>2012</v>
      </c>
      <c r="B121" s="44">
        <v>1</v>
      </c>
      <c r="C121" s="6">
        <v>-80.984499999999997</v>
      </c>
      <c r="D121" s="44">
        <v>0</v>
      </c>
      <c r="E121" s="45">
        <v>17.7</v>
      </c>
      <c r="F121" s="1">
        <v>1</v>
      </c>
      <c r="G121" s="1">
        <v>11</v>
      </c>
      <c r="H121" s="44">
        <v>3.55</v>
      </c>
      <c r="I121" s="44">
        <v>0.05</v>
      </c>
      <c r="J121" s="44">
        <v>1.25</v>
      </c>
      <c r="K121" s="44">
        <v>0.05</v>
      </c>
      <c r="L121" s="44">
        <v>0.72448979591836737</v>
      </c>
      <c r="M121" s="44">
        <v>1.020408163265306E-2</v>
      </c>
      <c r="N121" s="44">
        <v>0.25510204081632654</v>
      </c>
      <c r="O121" s="44">
        <v>1.020408163265306E-2</v>
      </c>
      <c r="P121" s="50">
        <v>4.2766661190160553</v>
      </c>
      <c r="Q121" s="50">
        <v>0.69314718055994529</v>
      </c>
      <c r="R121" s="50">
        <v>3.2580965380214821</v>
      </c>
      <c r="S121" s="50">
        <v>0.69314718055994529</v>
      </c>
    </row>
    <row r="122" spans="1:19" x14ac:dyDescent="0.25">
      <c r="A122" s="44">
        <v>2012</v>
      </c>
      <c r="B122" s="44">
        <v>1</v>
      </c>
      <c r="C122" s="6">
        <v>-80.983166666666662</v>
      </c>
      <c r="D122" s="44">
        <v>0</v>
      </c>
      <c r="E122" s="45">
        <v>18.399999999999999</v>
      </c>
      <c r="F122" s="21">
        <v>0</v>
      </c>
      <c r="G122" s="21">
        <v>8</v>
      </c>
      <c r="H122" s="44">
        <v>0.35</v>
      </c>
      <c r="I122" s="44">
        <v>0</v>
      </c>
      <c r="J122" s="44">
        <v>4.2</v>
      </c>
      <c r="K122" s="44">
        <v>0.2</v>
      </c>
      <c r="L122" s="44">
        <v>7.3684210526315783E-2</v>
      </c>
      <c r="M122" s="44">
        <v>0</v>
      </c>
      <c r="N122" s="44">
        <v>0.88421052631578945</v>
      </c>
      <c r="O122" s="44">
        <v>4.2105263157894736E-2</v>
      </c>
      <c r="P122" s="50">
        <v>2.0794415416798357</v>
      </c>
      <c r="Q122" s="50">
        <v>0</v>
      </c>
      <c r="R122" s="50">
        <v>4.4426512564903167</v>
      </c>
      <c r="S122" s="50">
        <v>1.6094379124341003</v>
      </c>
    </row>
    <row r="123" spans="1:19" x14ac:dyDescent="0.25">
      <c r="A123" s="44">
        <v>2012</v>
      </c>
      <c r="B123" s="44">
        <v>1</v>
      </c>
      <c r="C123" s="6">
        <v>-81.023333333333326</v>
      </c>
      <c r="D123" s="44">
        <v>0</v>
      </c>
      <c r="E123" s="45">
        <v>13.3</v>
      </c>
      <c r="F123" s="21">
        <v>1</v>
      </c>
      <c r="G123" s="21">
        <v>11</v>
      </c>
      <c r="H123" s="44">
        <v>0.3</v>
      </c>
      <c r="I123" s="44">
        <v>0</v>
      </c>
      <c r="J123" s="44">
        <v>9.75</v>
      </c>
      <c r="K123" s="44">
        <v>0</v>
      </c>
      <c r="L123" s="44">
        <v>2.9702970297029702E-2</v>
      </c>
      <c r="M123" s="44">
        <v>0</v>
      </c>
      <c r="N123" s="44">
        <v>0.96534653465346532</v>
      </c>
      <c r="O123" s="44">
        <v>0</v>
      </c>
      <c r="P123" s="50">
        <v>1.9459101490553132</v>
      </c>
      <c r="Q123" s="50">
        <v>0</v>
      </c>
      <c r="R123" s="50">
        <v>5.2781146592305168</v>
      </c>
      <c r="S123" s="50">
        <v>0</v>
      </c>
    </row>
    <row r="124" spans="1:19" x14ac:dyDescent="0.25">
      <c r="A124" s="44">
        <v>2012</v>
      </c>
      <c r="B124" s="44">
        <v>1</v>
      </c>
      <c r="C124" s="15">
        <v>-81.024500000000003</v>
      </c>
      <c r="D124" s="44">
        <v>0</v>
      </c>
      <c r="E124" s="45">
        <v>13.3</v>
      </c>
      <c r="F124" s="1">
        <v>0</v>
      </c>
      <c r="G124" s="1">
        <v>6</v>
      </c>
      <c r="H124" s="44">
        <v>0.1</v>
      </c>
      <c r="I124" s="44">
        <v>0</v>
      </c>
      <c r="J124" s="44">
        <v>49.5</v>
      </c>
      <c r="K124" s="44">
        <v>0</v>
      </c>
      <c r="L124" s="44">
        <v>2.0161290322580645E-3</v>
      </c>
      <c r="M124" s="44">
        <v>0</v>
      </c>
      <c r="N124" s="44">
        <v>0.99798387096774188</v>
      </c>
      <c r="O124" s="44">
        <v>0</v>
      </c>
      <c r="P124" s="50">
        <v>1.0986122886681098</v>
      </c>
      <c r="Q124" s="50">
        <v>0</v>
      </c>
      <c r="R124" s="50">
        <v>6.8987145343299883</v>
      </c>
      <c r="S124" s="50">
        <v>0</v>
      </c>
    </row>
    <row r="125" spans="1:19" x14ac:dyDescent="0.25">
      <c r="A125" s="44">
        <v>2012</v>
      </c>
      <c r="B125" s="44">
        <v>1</v>
      </c>
      <c r="C125" s="6">
        <v>-81.474166666666662</v>
      </c>
      <c r="D125" s="44">
        <v>0</v>
      </c>
      <c r="E125" s="45">
        <v>11.2</v>
      </c>
      <c r="F125" s="1">
        <v>0</v>
      </c>
      <c r="G125" s="1">
        <v>5</v>
      </c>
      <c r="H125" s="44">
        <v>1.1000000000000001</v>
      </c>
      <c r="I125" s="44">
        <v>0.05</v>
      </c>
      <c r="J125" s="44">
        <v>16.8</v>
      </c>
      <c r="K125" s="44">
        <v>0</v>
      </c>
      <c r="L125" s="44">
        <v>5.9782608695652176E-2</v>
      </c>
      <c r="M125" s="44">
        <v>2.717391304347826E-3</v>
      </c>
      <c r="N125" s="44">
        <v>0.91304347826086951</v>
      </c>
      <c r="O125" s="44">
        <v>0</v>
      </c>
      <c r="P125" s="50">
        <v>3.1354942159291497</v>
      </c>
      <c r="Q125" s="50">
        <v>0.69314718055994529</v>
      </c>
      <c r="R125" s="50">
        <v>5.8200829303523616</v>
      </c>
      <c r="S125" s="50">
        <v>0</v>
      </c>
    </row>
    <row r="126" spans="1:19" x14ac:dyDescent="0.25">
      <c r="A126" s="44">
        <v>2012</v>
      </c>
      <c r="B126" s="44">
        <v>1</v>
      </c>
      <c r="C126" s="6">
        <v>-81.471999999999994</v>
      </c>
      <c r="D126" s="44">
        <v>0</v>
      </c>
      <c r="E126" s="45">
        <v>13.6</v>
      </c>
      <c r="F126" s="1">
        <v>0</v>
      </c>
      <c r="G126" s="1">
        <v>7</v>
      </c>
      <c r="H126" s="44">
        <v>15.9</v>
      </c>
      <c r="I126" s="44">
        <v>0.2</v>
      </c>
      <c r="J126" s="44">
        <v>1.85</v>
      </c>
      <c r="K126" s="44">
        <v>0.15</v>
      </c>
      <c r="L126" s="44">
        <v>0.87123287671232874</v>
      </c>
      <c r="M126" s="44">
        <v>1.0958904109589041E-2</v>
      </c>
      <c r="N126" s="44">
        <v>0.10136986301369863</v>
      </c>
      <c r="O126" s="44">
        <v>8.21917808219178E-3</v>
      </c>
      <c r="P126" s="50">
        <v>5.7651911027848444</v>
      </c>
      <c r="Q126" s="50">
        <v>1.6094379124341003</v>
      </c>
      <c r="R126" s="50">
        <v>3.6375861597263857</v>
      </c>
      <c r="S126" s="50">
        <v>1.3862943611198906</v>
      </c>
    </row>
    <row r="127" spans="1:19" x14ac:dyDescent="0.25">
      <c r="A127" s="44">
        <v>2012</v>
      </c>
      <c r="B127" s="44">
        <v>1</v>
      </c>
      <c r="C127" s="6">
        <v>-81.441833333333335</v>
      </c>
      <c r="D127" s="44">
        <v>0</v>
      </c>
      <c r="E127" s="45">
        <v>18.899999999999999</v>
      </c>
      <c r="F127" s="1">
        <v>0</v>
      </c>
      <c r="G127" s="1">
        <v>6</v>
      </c>
      <c r="H127" s="44">
        <v>1.8</v>
      </c>
      <c r="I127" s="44">
        <v>0</v>
      </c>
      <c r="J127" s="44">
        <v>2</v>
      </c>
      <c r="K127" s="44">
        <v>0.05</v>
      </c>
      <c r="L127" s="44">
        <v>0.46753246753246752</v>
      </c>
      <c r="M127" s="44">
        <v>0</v>
      </c>
      <c r="N127" s="44">
        <v>0.51948051948051943</v>
      </c>
      <c r="O127" s="44">
        <v>1.2987012987012988E-2</v>
      </c>
      <c r="P127" s="50">
        <v>3.6109179126442243</v>
      </c>
      <c r="Q127" s="50">
        <v>0</v>
      </c>
      <c r="R127" s="50">
        <v>3.713572066704308</v>
      </c>
      <c r="S127" s="50">
        <v>0.69314718055994529</v>
      </c>
    </row>
    <row r="128" spans="1:19" x14ac:dyDescent="0.25">
      <c r="A128" s="44">
        <v>2012</v>
      </c>
      <c r="B128" s="44">
        <v>1</v>
      </c>
      <c r="C128" s="6">
        <v>-81.449333333333328</v>
      </c>
      <c r="D128" s="44">
        <v>1</v>
      </c>
      <c r="E128" s="45">
        <v>19.600000000000001</v>
      </c>
      <c r="F128" s="1">
        <v>0</v>
      </c>
      <c r="G128" s="1">
        <v>10</v>
      </c>
      <c r="H128" s="44">
        <v>0</v>
      </c>
      <c r="I128" s="44">
        <v>0</v>
      </c>
      <c r="J128" s="44">
        <v>0.45</v>
      </c>
      <c r="K128" s="44">
        <v>0</v>
      </c>
      <c r="L128" s="44">
        <v>0</v>
      </c>
      <c r="M128" s="44">
        <v>0</v>
      </c>
      <c r="N128" s="44">
        <v>0.52941176470588236</v>
      </c>
      <c r="O128" s="44">
        <v>0</v>
      </c>
      <c r="P128" s="50">
        <v>0</v>
      </c>
      <c r="Q128" s="50">
        <v>0</v>
      </c>
      <c r="R128" s="50">
        <v>2.3025850929940459</v>
      </c>
      <c r="S128" s="50">
        <v>0</v>
      </c>
    </row>
    <row r="129" spans="1:19" x14ac:dyDescent="0.25">
      <c r="A129" s="44">
        <v>2012</v>
      </c>
      <c r="B129" s="44">
        <v>1</v>
      </c>
      <c r="C129" s="6">
        <v>-81.4495</v>
      </c>
      <c r="D129" s="44">
        <v>1</v>
      </c>
      <c r="E129" s="45">
        <v>19.7</v>
      </c>
      <c r="F129" s="21">
        <v>0</v>
      </c>
      <c r="G129" s="21">
        <v>14</v>
      </c>
      <c r="H129" s="44">
        <v>0.25</v>
      </c>
      <c r="I129" s="44">
        <v>0.2</v>
      </c>
      <c r="J129" s="44">
        <v>0.2</v>
      </c>
      <c r="K129" s="44">
        <v>0.05</v>
      </c>
      <c r="L129" s="44">
        <v>0.26315789473684209</v>
      </c>
      <c r="M129" s="44">
        <v>0.21052631578947367</v>
      </c>
      <c r="N129" s="44">
        <v>0.21052631578947367</v>
      </c>
      <c r="O129" s="44">
        <v>5.2631578947368418E-2</v>
      </c>
      <c r="P129" s="50">
        <v>1.791759469228055</v>
      </c>
      <c r="Q129" s="50">
        <v>1.6094379124341003</v>
      </c>
      <c r="R129" s="50">
        <v>1.6094379124341003</v>
      </c>
      <c r="S129" s="50">
        <v>0.69314718055994529</v>
      </c>
    </row>
    <row r="130" spans="1:19" x14ac:dyDescent="0.25">
      <c r="A130" s="44">
        <v>2012</v>
      </c>
      <c r="B130" s="44">
        <v>1</v>
      </c>
      <c r="C130" s="6">
        <v>-81.387333333333331</v>
      </c>
      <c r="D130" s="44">
        <v>1</v>
      </c>
      <c r="E130" s="45">
        <v>22</v>
      </c>
      <c r="F130" s="1">
        <v>1</v>
      </c>
      <c r="G130" s="1">
        <v>16</v>
      </c>
      <c r="H130" s="44">
        <v>2.4500000000000002</v>
      </c>
      <c r="I130" s="44">
        <v>0</v>
      </c>
      <c r="J130" s="44">
        <v>2.35</v>
      </c>
      <c r="K130" s="44">
        <v>0.25</v>
      </c>
      <c r="L130" s="44">
        <v>0.4375</v>
      </c>
      <c r="M130" s="44">
        <v>0</v>
      </c>
      <c r="N130" s="44">
        <v>0.41964285714285715</v>
      </c>
      <c r="O130" s="44">
        <v>4.4642857142857144E-2</v>
      </c>
      <c r="P130" s="50">
        <v>3.912023005428146</v>
      </c>
      <c r="Q130" s="50">
        <v>0</v>
      </c>
      <c r="R130" s="50">
        <v>3.8712010109078911</v>
      </c>
      <c r="S130" s="50">
        <v>1.791759469228055</v>
      </c>
    </row>
    <row r="131" spans="1:19" x14ac:dyDescent="0.25">
      <c r="A131" s="44">
        <v>2012</v>
      </c>
      <c r="B131" s="44">
        <v>1</v>
      </c>
      <c r="C131" s="6">
        <v>-81.375166666666672</v>
      </c>
      <c r="D131" s="44">
        <v>1</v>
      </c>
      <c r="E131" s="45">
        <v>22.3</v>
      </c>
      <c r="F131" s="1">
        <v>0</v>
      </c>
      <c r="G131" s="1">
        <v>12</v>
      </c>
      <c r="H131" s="44">
        <v>0.55000000000000004</v>
      </c>
      <c r="I131" s="44">
        <v>0</v>
      </c>
      <c r="J131" s="44">
        <v>5.35</v>
      </c>
      <c r="K131" s="44">
        <v>0.1</v>
      </c>
      <c r="L131" s="44">
        <v>7.6923076923076927E-2</v>
      </c>
      <c r="M131" s="44">
        <v>0</v>
      </c>
      <c r="N131" s="44">
        <v>0.74825174825174823</v>
      </c>
      <c r="O131" s="44">
        <v>1.3986013986013986E-2</v>
      </c>
      <c r="P131" s="50">
        <v>2.4849066497880004</v>
      </c>
      <c r="Q131" s="50">
        <v>0</v>
      </c>
      <c r="R131" s="50">
        <v>4.6821312271242199</v>
      </c>
      <c r="S131" s="50">
        <v>1.0986122886681098</v>
      </c>
    </row>
    <row r="132" spans="1:19" x14ac:dyDescent="0.25">
      <c r="A132" s="44">
        <v>2012</v>
      </c>
      <c r="B132" s="44">
        <v>1</v>
      </c>
      <c r="C132" s="15">
        <v>-81.36933333333333</v>
      </c>
      <c r="D132" s="44">
        <v>1</v>
      </c>
      <c r="E132" s="45">
        <v>22.5</v>
      </c>
      <c r="F132" s="1">
        <v>0</v>
      </c>
      <c r="G132" s="1">
        <v>9</v>
      </c>
      <c r="H132" s="44">
        <v>0</v>
      </c>
      <c r="I132" s="44">
        <v>0</v>
      </c>
      <c r="J132" s="44">
        <v>2.25</v>
      </c>
      <c r="K132" s="44">
        <v>0.15</v>
      </c>
      <c r="L132" s="44">
        <v>0</v>
      </c>
      <c r="M132" s="44">
        <v>0</v>
      </c>
      <c r="N132" s="44">
        <v>0.88235294117647056</v>
      </c>
      <c r="O132" s="44">
        <v>5.8823529411764705E-2</v>
      </c>
      <c r="P132" s="50">
        <v>0</v>
      </c>
      <c r="Q132" s="50">
        <v>0</v>
      </c>
      <c r="R132" s="50">
        <v>3.8286413964890951</v>
      </c>
      <c r="S132" s="50">
        <v>1.3862943611198906</v>
      </c>
    </row>
    <row r="133" spans="1:19" x14ac:dyDescent="0.25">
      <c r="A133" s="44">
        <v>2012</v>
      </c>
      <c r="B133" s="44">
        <v>0</v>
      </c>
      <c r="C133" s="6">
        <v>-81.746166666666667</v>
      </c>
      <c r="D133" s="44">
        <v>1</v>
      </c>
      <c r="E133" s="45">
        <v>23.8</v>
      </c>
      <c r="F133" s="1">
        <v>1</v>
      </c>
      <c r="G133" s="1">
        <v>13</v>
      </c>
      <c r="H133" s="44">
        <v>0.5</v>
      </c>
      <c r="I133" s="44">
        <v>0</v>
      </c>
      <c r="J133" s="44">
        <v>0.1</v>
      </c>
      <c r="K133" s="44">
        <v>0.05</v>
      </c>
      <c r="L133" s="44">
        <v>0.58823529411764708</v>
      </c>
      <c r="M133" s="44">
        <v>0</v>
      </c>
      <c r="N133" s="44">
        <v>0.11764705882352941</v>
      </c>
      <c r="O133" s="44">
        <v>5.8823529411764705E-2</v>
      </c>
      <c r="P133" s="50">
        <v>2.3978952727983707</v>
      </c>
      <c r="Q133" s="50">
        <v>0</v>
      </c>
      <c r="R133" s="50">
        <v>1.0986122886681098</v>
      </c>
      <c r="S133" s="50">
        <v>0.69314718055994529</v>
      </c>
    </row>
    <row r="134" spans="1:19" x14ac:dyDescent="0.25">
      <c r="A134" s="44">
        <v>2012</v>
      </c>
      <c r="B134" s="44">
        <v>0</v>
      </c>
      <c r="C134" s="6">
        <v>-81.739500000000007</v>
      </c>
      <c r="D134" s="44">
        <v>1</v>
      </c>
      <c r="E134" s="45">
        <v>23.5</v>
      </c>
      <c r="F134" s="1">
        <v>1</v>
      </c>
      <c r="G134" s="1">
        <v>14</v>
      </c>
      <c r="H134" s="44">
        <v>0.2</v>
      </c>
      <c r="I134" s="44">
        <v>0.05</v>
      </c>
      <c r="J134" s="44">
        <v>0.25</v>
      </c>
      <c r="K134" s="44">
        <v>0</v>
      </c>
      <c r="L134" s="44">
        <v>0.25</v>
      </c>
      <c r="M134" s="44">
        <v>6.25E-2</v>
      </c>
      <c r="N134" s="44">
        <v>0.3125</v>
      </c>
      <c r="O134" s="44">
        <v>0</v>
      </c>
      <c r="P134" s="50">
        <v>1.6094379124341003</v>
      </c>
      <c r="Q134" s="50">
        <v>0.69314718055994529</v>
      </c>
      <c r="R134" s="50">
        <v>1.791759469228055</v>
      </c>
      <c r="S134" s="50">
        <v>0</v>
      </c>
    </row>
    <row r="135" spans="1:19" x14ac:dyDescent="0.25">
      <c r="A135" s="44">
        <v>2012</v>
      </c>
      <c r="B135" s="44">
        <v>0</v>
      </c>
      <c r="C135" s="6">
        <v>-81.742500000000007</v>
      </c>
      <c r="D135" s="44">
        <v>1</v>
      </c>
      <c r="E135" s="45">
        <v>23.3</v>
      </c>
      <c r="F135" s="1">
        <v>1</v>
      </c>
      <c r="G135" s="1">
        <v>21</v>
      </c>
      <c r="H135" s="44">
        <v>2.75</v>
      </c>
      <c r="I135" s="44">
        <v>3.55</v>
      </c>
      <c r="J135" s="44">
        <v>0.35</v>
      </c>
      <c r="K135" s="44">
        <v>0.65</v>
      </c>
      <c r="L135" s="44">
        <v>0.37414965986394561</v>
      </c>
      <c r="M135" s="44">
        <v>0.48299319727891155</v>
      </c>
      <c r="N135" s="44">
        <v>4.7619047619047616E-2</v>
      </c>
      <c r="O135" s="44">
        <v>8.8435374149659865E-2</v>
      </c>
      <c r="P135" s="50">
        <v>4.0253516907351496</v>
      </c>
      <c r="Q135" s="50">
        <v>4.2766661190160553</v>
      </c>
      <c r="R135" s="50">
        <v>2.0794415416798357</v>
      </c>
      <c r="S135" s="50">
        <v>2.6390573296152584</v>
      </c>
    </row>
    <row r="136" spans="1:19" x14ac:dyDescent="0.25">
      <c r="A136" s="44">
        <v>2012</v>
      </c>
      <c r="B136" s="44">
        <v>0</v>
      </c>
      <c r="C136" s="6">
        <v>-81.736333333333334</v>
      </c>
      <c r="D136" s="44">
        <v>1</v>
      </c>
      <c r="E136" s="45">
        <v>23.6</v>
      </c>
      <c r="F136" s="1">
        <v>1</v>
      </c>
      <c r="G136" s="1">
        <v>16</v>
      </c>
      <c r="H136" s="44">
        <v>0.15</v>
      </c>
      <c r="I136" s="44">
        <v>0.05</v>
      </c>
      <c r="J136" s="44">
        <v>0.25</v>
      </c>
      <c r="K136" s="44">
        <v>0</v>
      </c>
      <c r="L136" s="44">
        <v>0.3</v>
      </c>
      <c r="M136" s="44">
        <v>0.1</v>
      </c>
      <c r="N136" s="44">
        <v>0.5</v>
      </c>
      <c r="O136" s="44">
        <v>0</v>
      </c>
      <c r="P136" s="50">
        <v>1.3862943611198906</v>
      </c>
      <c r="Q136" s="50">
        <v>0.69314718055994529</v>
      </c>
      <c r="R136" s="50">
        <v>1.791759469228055</v>
      </c>
      <c r="S136" s="50">
        <v>0</v>
      </c>
    </row>
    <row r="137" spans="1:19" x14ac:dyDescent="0.25">
      <c r="A137" s="44">
        <v>2012</v>
      </c>
      <c r="B137" s="44">
        <v>0</v>
      </c>
      <c r="C137" s="6">
        <v>-81.81</v>
      </c>
      <c r="D137" s="44">
        <v>0</v>
      </c>
      <c r="E137" s="45">
        <v>19.3</v>
      </c>
      <c r="F137" s="1">
        <v>1</v>
      </c>
      <c r="G137" s="1">
        <v>14</v>
      </c>
      <c r="H137" s="44">
        <v>9.4</v>
      </c>
      <c r="I137" s="44">
        <v>0.05</v>
      </c>
      <c r="J137" s="44">
        <v>1.4</v>
      </c>
      <c r="K137" s="44">
        <v>2.4500000000000002</v>
      </c>
      <c r="L137" s="44">
        <v>0.69372693726937273</v>
      </c>
      <c r="M137" s="44">
        <v>3.6900369003690036E-3</v>
      </c>
      <c r="N137" s="44">
        <v>0.10332103321033211</v>
      </c>
      <c r="O137" s="44">
        <v>0.18081180811808117</v>
      </c>
      <c r="P137" s="50">
        <v>5.2417470150596426</v>
      </c>
      <c r="Q137" s="50">
        <v>0.69314718055994529</v>
      </c>
      <c r="R137" s="50">
        <v>3.3672958299864741</v>
      </c>
      <c r="S137" s="50">
        <v>3.912023005428146</v>
      </c>
    </row>
    <row r="138" spans="1:19" x14ac:dyDescent="0.25">
      <c r="A138" s="44">
        <v>2012</v>
      </c>
      <c r="B138" s="44">
        <v>0</v>
      </c>
      <c r="C138" s="6">
        <v>-81.81183333333334</v>
      </c>
      <c r="D138" s="44">
        <v>0</v>
      </c>
      <c r="E138" s="45">
        <v>19</v>
      </c>
      <c r="F138" s="1">
        <v>0</v>
      </c>
      <c r="G138" s="1">
        <v>10</v>
      </c>
      <c r="H138" s="44">
        <v>0.8</v>
      </c>
      <c r="I138" s="44">
        <v>0</v>
      </c>
      <c r="J138" s="44">
        <v>13.35</v>
      </c>
      <c r="K138" s="44">
        <v>0.05</v>
      </c>
      <c r="L138" s="44">
        <v>5.3511705685618728E-2</v>
      </c>
      <c r="M138" s="44">
        <v>0</v>
      </c>
      <c r="N138" s="44">
        <v>0.8929765886287625</v>
      </c>
      <c r="O138" s="44">
        <v>3.3444816053511705E-3</v>
      </c>
      <c r="P138" s="50">
        <v>2.8332133440562162</v>
      </c>
      <c r="Q138" s="50">
        <v>0</v>
      </c>
      <c r="R138" s="50">
        <v>5.5909869805108565</v>
      </c>
      <c r="S138" s="50">
        <v>0.69314718055994529</v>
      </c>
    </row>
    <row r="139" spans="1:19" x14ac:dyDescent="0.25">
      <c r="A139" s="44">
        <v>2012</v>
      </c>
      <c r="B139" s="44">
        <v>0</v>
      </c>
      <c r="C139" s="6">
        <v>-81.802000000000007</v>
      </c>
      <c r="D139" s="44">
        <v>1</v>
      </c>
      <c r="E139" s="45">
        <v>19.8</v>
      </c>
      <c r="F139" s="1">
        <v>1</v>
      </c>
      <c r="G139" s="1">
        <v>12</v>
      </c>
      <c r="H139" s="44">
        <v>0.15</v>
      </c>
      <c r="I139" s="44">
        <v>0</v>
      </c>
      <c r="J139" s="44">
        <v>2.4</v>
      </c>
      <c r="K139" s="44">
        <v>0.2</v>
      </c>
      <c r="L139" s="44">
        <v>0.04</v>
      </c>
      <c r="M139" s="44">
        <v>0</v>
      </c>
      <c r="N139" s="44">
        <v>0.64</v>
      </c>
      <c r="O139" s="44">
        <v>5.3333333333333337E-2</v>
      </c>
      <c r="P139" s="50">
        <v>1.3862943611198906</v>
      </c>
      <c r="Q139" s="50">
        <v>0</v>
      </c>
      <c r="R139" s="50">
        <v>3.8918202981106265</v>
      </c>
      <c r="S139" s="50">
        <v>1.6094379124341003</v>
      </c>
    </row>
    <row r="140" spans="1:19" x14ac:dyDescent="0.25">
      <c r="A140" s="44">
        <v>2012</v>
      </c>
      <c r="B140" s="44">
        <v>0</v>
      </c>
      <c r="C140" s="6">
        <v>-81.828500000000005</v>
      </c>
      <c r="D140" s="44">
        <v>0</v>
      </c>
      <c r="E140" s="45">
        <v>11.9</v>
      </c>
      <c r="F140" s="1">
        <v>0</v>
      </c>
      <c r="G140" s="1">
        <v>4</v>
      </c>
      <c r="H140" s="44">
        <v>0.1</v>
      </c>
      <c r="I140" s="44">
        <v>0</v>
      </c>
      <c r="J140" s="44">
        <v>15.7</v>
      </c>
      <c r="K140" s="44">
        <v>0.2</v>
      </c>
      <c r="L140" s="44">
        <v>6.1162079510703364E-3</v>
      </c>
      <c r="M140" s="44">
        <v>0</v>
      </c>
      <c r="N140" s="44">
        <v>0.96024464831804279</v>
      </c>
      <c r="O140" s="44">
        <v>1.2232415902140673E-2</v>
      </c>
      <c r="P140" s="50">
        <v>1.0986122886681098</v>
      </c>
      <c r="Q140" s="50">
        <v>0</v>
      </c>
      <c r="R140" s="50">
        <v>5.7525726388256331</v>
      </c>
      <c r="S140" s="50">
        <v>1.6094379124341003</v>
      </c>
    </row>
    <row r="141" spans="1:19" x14ac:dyDescent="0.25">
      <c r="A141" s="44">
        <v>2012</v>
      </c>
      <c r="B141" s="44">
        <v>0</v>
      </c>
      <c r="C141" s="6">
        <v>-81.807500000000005</v>
      </c>
      <c r="D141" s="44">
        <v>0</v>
      </c>
      <c r="E141" s="45">
        <v>17.5</v>
      </c>
      <c r="F141" s="1">
        <v>0</v>
      </c>
      <c r="G141" s="1">
        <v>8</v>
      </c>
      <c r="H141" s="44">
        <v>0.65</v>
      </c>
      <c r="I141" s="44">
        <v>0.05</v>
      </c>
      <c r="J141" s="44">
        <v>0.6</v>
      </c>
      <c r="K141" s="44">
        <v>2.9</v>
      </c>
      <c r="L141" s="44">
        <v>0.14772727272727273</v>
      </c>
      <c r="M141" s="44">
        <v>1.1363636363636364E-2</v>
      </c>
      <c r="N141" s="44">
        <v>0.13636363636363635</v>
      </c>
      <c r="O141" s="44">
        <v>0.65909090909090906</v>
      </c>
      <c r="P141" s="50">
        <v>2.6390573296152584</v>
      </c>
      <c r="Q141" s="50">
        <v>0.69314718055994529</v>
      </c>
      <c r="R141" s="50">
        <v>2.5649493574615367</v>
      </c>
      <c r="S141" s="50">
        <v>4.0775374439057197</v>
      </c>
    </row>
    <row r="142" spans="1:19" x14ac:dyDescent="0.25">
      <c r="A142" s="44">
        <v>2013</v>
      </c>
      <c r="B142" s="44">
        <v>1</v>
      </c>
      <c r="C142" s="6">
        <v>-81.11</v>
      </c>
      <c r="D142" s="44">
        <v>1</v>
      </c>
      <c r="E142" s="44">
        <v>21.945600000000002</v>
      </c>
      <c r="F142" s="1">
        <v>0</v>
      </c>
      <c r="G142" s="1">
        <v>13.106400000000001</v>
      </c>
      <c r="H142" s="44">
        <v>0.9</v>
      </c>
      <c r="I142" s="44">
        <v>1</v>
      </c>
      <c r="J142" s="44">
        <v>0.05</v>
      </c>
      <c r="K142" s="44">
        <v>0</v>
      </c>
      <c r="L142" s="44">
        <v>0.45</v>
      </c>
      <c r="M142" s="44">
        <v>0.5</v>
      </c>
      <c r="N142" s="44">
        <v>2.5000000000000001E-2</v>
      </c>
      <c r="O142" s="44">
        <v>0</v>
      </c>
      <c r="P142" s="50">
        <v>2.9444389791664403</v>
      </c>
      <c r="Q142" s="50">
        <v>3.044522437723423</v>
      </c>
      <c r="R142" s="50">
        <v>0.69314718055994529</v>
      </c>
      <c r="S142" s="50">
        <v>0</v>
      </c>
    </row>
    <row r="143" spans="1:19" x14ac:dyDescent="0.25">
      <c r="A143" s="44">
        <v>2013</v>
      </c>
      <c r="B143" s="44">
        <v>1</v>
      </c>
      <c r="C143" s="6">
        <v>-81.066666666666663</v>
      </c>
      <c r="D143" s="44">
        <v>1</v>
      </c>
      <c r="E143" s="44">
        <v>21.640800000000002</v>
      </c>
      <c r="F143" s="1">
        <v>0</v>
      </c>
      <c r="G143" s="1">
        <v>7.62</v>
      </c>
      <c r="H143" s="44">
        <v>1.1000000000000001</v>
      </c>
      <c r="I143" s="44">
        <v>0.25</v>
      </c>
      <c r="J143" s="44">
        <v>0.05</v>
      </c>
      <c r="K143" s="44">
        <v>0</v>
      </c>
      <c r="L143" s="44">
        <v>0.6875</v>
      </c>
      <c r="M143" s="44">
        <v>0.15625</v>
      </c>
      <c r="N143" s="44">
        <v>3.125E-2</v>
      </c>
      <c r="O143" s="44">
        <v>0</v>
      </c>
      <c r="P143" s="50">
        <v>3.1354942159291497</v>
      </c>
      <c r="Q143" s="50">
        <v>1.791759469228055</v>
      </c>
      <c r="R143" s="50">
        <v>0.69314718055994529</v>
      </c>
      <c r="S143" s="50">
        <v>0</v>
      </c>
    </row>
    <row r="144" spans="1:19" x14ac:dyDescent="0.25">
      <c r="A144" s="44">
        <v>2013</v>
      </c>
      <c r="B144" s="44">
        <v>1</v>
      </c>
      <c r="C144" s="6">
        <v>-81.027000000000001</v>
      </c>
      <c r="D144" s="44">
        <v>1</v>
      </c>
      <c r="E144" s="44">
        <v>21.945600000000002</v>
      </c>
      <c r="F144" s="1">
        <v>0</v>
      </c>
      <c r="G144" s="1">
        <v>3.6576000000000004</v>
      </c>
      <c r="H144" s="44">
        <v>1.1499999999999999</v>
      </c>
      <c r="I144" s="44">
        <v>0.1</v>
      </c>
      <c r="J144" s="44">
        <v>0.15</v>
      </c>
      <c r="K144" s="44">
        <v>0</v>
      </c>
      <c r="L144" s="44">
        <v>0.71875</v>
      </c>
      <c r="M144" s="44">
        <v>6.25E-2</v>
      </c>
      <c r="N144" s="44">
        <v>9.375E-2</v>
      </c>
      <c r="O144" s="44">
        <v>0</v>
      </c>
      <c r="P144" s="50">
        <v>3.1780538303479458</v>
      </c>
      <c r="Q144" s="50">
        <v>1.0986122886681098</v>
      </c>
      <c r="R144" s="50">
        <v>1.3862943611198906</v>
      </c>
      <c r="S144" s="50">
        <v>0</v>
      </c>
    </row>
    <row r="145" spans="1:19" x14ac:dyDescent="0.25">
      <c r="A145" s="44">
        <v>2013</v>
      </c>
      <c r="B145" s="44">
        <v>1</v>
      </c>
      <c r="C145" s="6">
        <v>-81.399666666666661</v>
      </c>
      <c r="D145" s="44">
        <v>0</v>
      </c>
      <c r="E145" s="44">
        <v>6.4008000000000003</v>
      </c>
      <c r="F145" s="1">
        <v>0</v>
      </c>
      <c r="G145" s="1">
        <v>12.4968</v>
      </c>
      <c r="H145" s="44">
        <v>3.3</v>
      </c>
      <c r="I145" s="44">
        <v>0</v>
      </c>
      <c r="J145" s="44">
        <v>0.4</v>
      </c>
      <c r="K145" s="44">
        <v>0</v>
      </c>
      <c r="L145" s="44">
        <v>0.88</v>
      </c>
      <c r="M145" s="44">
        <v>0</v>
      </c>
      <c r="N145" s="44">
        <v>0.10666666666666667</v>
      </c>
      <c r="O145" s="44">
        <v>0</v>
      </c>
      <c r="P145" s="50">
        <v>4.2046926193909657</v>
      </c>
      <c r="Q145" s="50">
        <v>0</v>
      </c>
      <c r="R145" s="50">
        <v>2.1972245773362196</v>
      </c>
      <c r="S145" s="50">
        <v>0</v>
      </c>
    </row>
    <row r="146" spans="1:19" x14ac:dyDescent="0.25">
      <c r="A146" s="44">
        <v>2013</v>
      </c>
      <c r="B146" s="44">
        <v>1</v>
      </c>
      <c r="C146" s="6">
        <v>-81.429333333333332</v>
      </c>
      <c r="D146" s="44">
        <v>0</v>
      </c>
      <c r="E146" s="44">
        <v>6.7056000000000004</v>
      </c>
      <c r="F146" s="1">
        <v>0</v>
      </c>
      <c r="G146" s="1">
        <v>13.411200000000001</v>
      </c>
      <c r="H146" s="44">
        <v>1.8</v>
      </c>
      <c r="I146" s="44">
        <v>15.75</v>
      </c>
      <c r="J146" s="44">
        <v>0.2</v>
      </c>
      <c r="K146" s="44">
        <v>0</v>
      </c>
      <c r="L146" s="44">
        <v>5.0775740479548657E-2</v>
      </c>
      <c r="M146" s="44">
        <v>0.44428772919605075</v>
      </c>
      <c r="N146" s="44">
        <v>5.6417489421720732E-3</v>
      </c>
      <c r="O146" s="44">
        <v>0</v>
      </c>
      <c r="P146" s="50">
        <v>3.6109179126442243</v>
      </c>
      <c r="Q146" s="50">
        <v>5.7557422135869123</v>
      </c>
      <c r="R146" s="50">
        <v>1.6094379124341003</v>
      </c>
      <c r="S146" s="50">
        <v>0</v>
      </c>
    </row>
    <row r="147" spans="1:19" x14ac:dyDescent="0.25">
      <c r="A147" s="44">
        <v>2013</v>
      </c>
      <c r="B147" s="44">
        <v>1</v>
      </c>
      <c r="C147" s="6">
        <v>-81.434666666666672</v>
      </c>
      <c r="D147" s="44">
        <v>1</v>
      </c>
      <c r="E147" s="44">
        <v>22.86</v>
      </c>
      <c r="F147" s="1">
        <v>1</v>
      </c>
      <c r="G147" s="1">
        <v>18</v>
      </c>
      <c r="H147" s="44">
        <v>0</v>
      </c>
      <c r="I147" s="44">
        <v>57.45</v>
      </c>
      <c r="J147" s="44">
        <v>0.05</v>
      </c>
      <c r="K147" s="44">
        <v>0</v>
      </c>
      <c r="L147" s="44">
        <v>0</v>
      </c>
      <c r="M147" s="44">
        <v>0.89277389277389274</v>
      </c>
      <c r="N147" s="44">
        <v>7.77000777000777E-4</v>
      </c>
      <c r="O147" s="44">
        <v>0</v>
      </c>
      <c r="P147" s="50">
        <v>0</v>
      </c>
      <c r="Q147" s="50">
        <v>7.0475172213572961</v>
      </c>
      <c r="R147" s="50">
        <v>0.69314718055994529</v>
      </c>
      <c r="S147" s="50">
        <v>0</v>
      </c>
    </row>
    <row r="148" spans="1:19" x14ac:dyDescent="0.25">
      <c r="A148" s="44">
        <v>2013</v>
      </c>
      <c r="B148" s="44">
        <v>0</v>
      </c>
      <c r="C148" s="6">
        <v>-81.821333333333328</v>
      </c>
      <c r="D148" s="44">
        <v>1</v>
      </c>
      <c r="E148" s="44">
        <v>20.116800000000001</v>
      </c>
      <c r="F148" s="1">
        <v>0</v>
      </c>
      <c r="G148" s="1">
        <v>7.62</v>
      </c>
      <c r="H148" s="44">
        <v>0.15</v>
      </c>
      <c r="I148" s="44">
        <v>0.85</v>
      </c>
      <c r="J148" s="44">
        <v>0</v>
      </c>
      <c r="K148" s="44">
        <v>0</v>
      </c>
      <c r="L148" s="44">
        <v>0.13043478260869565</v>
      </c>
      <c r="M148" s="44">
        <v>0.73913043478260865</v>
      </c>
      <c r="N148" s="44">
        <v>0</v>
      </c>
      <c r="O148" s="44">
        <v>0</v>
      </c>
      <c r="P148" s="50">
        <v>1.3862943611198906</v>
      </c>
      <c r="Q148" s="50">
        <v>2.8903717578961645</v>
      </c>
      <c r="R148" s="50">
        <v>0</v>
      </c>
      <c r="S148" s="50">
        <v>0</v>
      </c>
    </row>
    <row r="149" spans="1:19" x14ac:dyDescent="0.25">
      <c r="A149" s="44">
        <v>2013</v>
      </c>
      <c r="B149" s="44">
        <v>0</v>
      </c>
      <c r="C149" s="6">
        <v>-81.850166666666667</v>
      </c>
      <c r="D149" s="44">
        <v>1</v>
      </c>
      <c r="E149" s="44">
        <v>21.640800000000002</v>
      </c>
      <c r="F149" s="1">
        <v>0</v>
      </c>
      <c r="G149" s="1">
        <v>11.8872</v>
      </c>
      <c r="H149" s="44">
        <v>5.9</v>
      </c>
      <c r="I149" s="44">
        <v>72.8</v>
      </c>
      <c r="J149" s="44">
        <v>0</v>
      </c>
      <c r="K149" s="44">
        <v>0</v>
      </c>
      <c r="L149" s="44">
        <v>7.4494949494949489E-2</v>
      </c>
      <c r="M149" s="44">
        <v>0.91919191919191923</v>
      </c>
      <c r="N149" s="44">
        <v>0</v>
      </c>
      <c r="O149" s="44">
        <v>0</v>
      </c>
      <c r="P149" s="50">
        <v>4.7791234931115296</v>
      </c>
      <c r="Q149" s="50">
        <v>7.2841348061952047</v>
      </c>
      <c r="R149" s="50">
        <v>0</v>
      </c>
      <c r="S149" s="50">
        <v>0</v>
      </c>
    </row>
    <row r="150" spans="1:19" x14ac:dyDescent="0.25">
      <c r="A150" s="44">
        <v>2013</v>
      </c>
      <c r="B150" s="44">
        <v>1</v>
      </c>
      <c r="C150" s="6">
        <v>-80.91449999999999</v>
      </c>
      <c r="D150" s="44">
        <v>1</v>
      </c>
      <c r="E150" s="44">
        <v>20.8</v>
      </c>
      <c r="F150" s="47">
        <v>1</v>
      </c>
      <c r="G150" s="21">
        <v>19</v>
      </c>
      <c r="H150" s="44">
        <v>0.4</v>
      </c>
      <c r="I150" s="44">
        <v>16.75</v>
      </c>
      <c r="J150" s="44">
        <v>0</v>
      </c>
      <c r="K150" s="44">
        <v>0</v>
      </c>
      <c r="L150" s="44">
        <v>2.2792022792022793E-2</v>
      </c>
      <c r="M150" s="44">
        <v>0.95441595441595439</v>
      </c>
      <c r="N150" s="44">
        <v>0</v>
      </c>
      <c r="O150" s="44">
        <v>0</v>
      </c>
      <c r="P150" s="50">
        <v>2.1972245773362196</v>
      </c>
      <c r="Q150" s="50">
        <v>5.8171111599632042</v>
      </c>
      <c r="R150" s="50">
        <v>0</v>
      </c>
      <c r="S150" s="50">
        <v>0</v>
      </c>
    </row>
    <row r="151" spans="1:19" x14ac:dyDescent="0.25">
      <c r="A151" s="44">
        <v>2013</v>
      </c>
      <c r="B151" s="44">
        <v>1</v>
      </c>
      <c r="C151" s="6">
        <v>-80.93116666666667</v>
      </c>
      <c r="D151" s="44">
        <v>1</v>
      </c>
      <c r="E151" s="44">
        <v>20.6</v>
      </c>
      <c r="F151" s="47">
        <v>1</v>
      </c>
      <c r="G151" s="1">
        <v>19</v>
      </c>
      <c r="H151" s="44">
        <v>0.15</v>
      </c>
      <c r="I151" s="44">
        <v>50.15</v>
      </c>
      <c r="J151" s="44">
        <v>0</v>
      </c>
      <c r="K151" s="44">
        <v>0</v>
      </c>
      <c r="L151" s="44">
        <v>2.9615004935834156E-3</v>
      </c>
      <c r="M151" s="44">
        <v>0.99012833168805525</v>
      </c>
      <c r="N151" s="44">
        <v>0</v>
      </c>
      <c r="O151" s="44">
        <v>0</v>
      </c>
      <c r="P151" s="50">
        <v>1.3862943611198906</v>
      </c>
      <c r="Q151" s="50">
        <v>6.9117473002516743</v>
      </c>
      <c r="R151" s="50">
        <v>0</v>
      </c>
      <c r="S151" s="50">
        <v>0</v>
      </c>
    </row>
    <row r="152" spans="1:19" x14ac:dyDescent="0.25">
      <c r="A152" s="44">
        <v>2013</v>
      </c>
      <c r="B152" s="44">
        <v>1</v>
      </c>
      <c r="C152" s="6">
        <v>-80.934666666666672</v>
      </c>
      <c r="D152" s="44">
        <v>1</v>
      </c>
      <c r="E152" s="44">
        <v>20.5</v>
      </c>
      <c r="F152" s="1">
        <v>0</v>
      </c>
      <c r="G152" s="1">
        <v>15</v>
      </c>
      <c r="H152" s="44">
        <v>8.85</v>
      </c>
      <c r="I152" s="44">
        <v>0.25</v>
      </c>
      <c r="J152" s="44">
        <v>0</v>
      </c>
      <c r="K152" s="44">
        <v>0.15</v>
      </c>
      <c r="L152" s="44">
        <v>0.946524064171123</v>
      </c>
      <c r="M152" s="44">
        <v>2.6737967914438502E-2</v>
      </c>
      <c r="N152" s="44">
        <v>0</v>
      </c>
      <c r="O152" s="44">
        <v>1.6042780748663103E-2</v>
      </c>
      <c r="P152" s="50">
        <v>5.181783550292085</v>
      </c>
      <c r="Q152" s="50">
        <v>1.791759469228055</v>
      </c>
      <c r="R152" s="50">
        <v>0</v>
      </c>
      <c r="S152" s="50">
        <v>1.3862943611198906</v>
      </c>
    </row>
    <row r="153" spans="1:19" x14ac:dyDescent="0.25">
      <c r="A153" s="44">
        <v>2013</v>
      </c>
      <c r="B153" s="44">
        <v>1</v>
      </c>
      <c r="C153" s="6">
        <v>-80.93683333333334</v>
      </c>
      <c r="D153" s="44">
        <v>1</v>
      </c>
      <c r="E153" s="44">
        <v>20.6</v>
      </c>
      <c r="F153" s="1">
        <v>0</v>
      </c>
      <c r="G153" s="1">
        <v>12</v>
      </c>
      <c r="H153" s="44">
        <v>9.3000000000000007</v>
      </c>
      <c r="I153" s="44">
        <v>0</v>
      </c>
      <c r="J153" s="44">
        <v>0.05</v>
      </c>
      <c r="K153" s="44">
        <v>0.3</v>
      </c>
      <c r="L153" s="44">
        <v>0.93</v>
      </c>
      <c r="M153" s="44">
        <v>0</v>
      </c>
      <c r="N153" s="44">
        <v>5.0000000000000001E-3</v>
      </c>
      <c r="O153" s="44">
        <v>0.03</v>
      </c>
      <c r="P153" s="50">
        <v>5.2311086168545868</v>
      </c>
      <c r="Q153" s="50">
        <v>0</v>
      </c>
      <c r="R153" s="50">
        <v>0.69314718055994529</v>
      </c>
      <c r="S153" s="50">
        <v>1.9459101490553132</v>
      </c>
    </row>
    <row r="154" spans="1:19" x14ac:dyDescent="0.25">
      <c r="A154" s="44">
        <v>2013</v>
      </c>
      <c r="B154" s="44">
        <v>1</v>
      </c>
      <c r="C154" s="6">
        <v>-80.972833333333327</v>
      </c>
      <c r="D154" s="44">
        <v>0</v>
      </c>
      <c r="E154" s="44">
        <v>18.399999999999999</v>
      </c>
      <c r="F154" s="1">
        <v>0</v>
      </c>
      <c r="G154" s="1">
        <v>14</v>
      </c>
      <c r="H154" s="44">
        <v>0.75</v>
      </c>
      <c r="I154" s="44">
        <v>3.15</v>
      </c>
      <c r="J154" s="44">
        <v>9.4</v>
      </c>
      <c r="K154" s="44">
        <v>0.2</v>
      </c>
      <c r="L154" s="44">
        <v>5.514705882352941E-2</v>
      </c>
      <c r="M154" s="44">
        <v>0.23161764705882354</v>
      </c>
      <c r="N154" s="44">
        <v>0.69117647058823528</v>
      </c>
      <c r="O154" s="44">
        <v>1.4705882352941176E-2</v>
      </c>
      <c r="P154" s="50">
        <v>2.7725887222397811</v>
      </c>
      <c r="Q154" s="50">
        <v>4.1588830833596715</v>
      </c>
      <c r="R154" s="50">
        <v>5.2417470150596426</v>
      </c>
      <c r="S154" s="50">
        <v>1.6094379124341003</v>
      </c>
    </row>
    <row r="155" spans="1:19" x14ac:dyDescent="0.25">
      <c r="A155" s="44">
        <v>2013</v>
      </c>
      <c r="B155" s="44">
        <v>1</v>
      </c>
      <c r="C155" s="6">
        <v>-80.980166666666662</v>
      </c>
      <c r="D155" s="44">
        <v>0</v>
      </c>
      <c r="E155" s="44">
        <v>18.600000000000001</v>
      </c>
      <c r="F155" s="1">
        <v>0</v>
      </c>
      <c r="G155" s="1">
        <v>12</v>
      </c>
      <c r="H155" s="44">
        <v>0.05</v>
      </c>
      <c r="I155" s="44">
        <v>0</v>
      </c>
      <c r="J155" s="44">
        <v>50.45</v>
      </c>
      <c r="K155" s="44">
        <v>0.05</v>
      </c>
      <c r="L155" s="44">
        <v>9.8619329388560163E-4</v>
      </c>
      <c r="M155" s="44">
        <v>0</v>
      </c>
      <c r="N155" s="44">
        <v>0.99506903353057197</v>
      </c>
      <c r="O155" s="44">
        <v>9.8619329388560163E-4</v>
      </c>
      <c r="P155" s="50">
        <v>0.69314718055994529</v>
      </c>
      <c r="Q155" s="50">
        <v>0</v>
      </c>
      <c r="R155" s="50">
        <v>6.9177056098353047</v>
      </c>
      <c r="S155" s="50">
        <v>0.69314718055994529</v>
      </c>
    </row>
    <row r="156" spans="1:19" x14ac:dyDescent="0.25">
      <c r="A156" s="44">
        <v>2013</v>
      </c>
      <c r="B156" s="44">
        <v>1</v>
      </c>
      <c r="C156" s="6">
        <v>-80.986666666666665</v>
      </c>
      <c r="D156" s="44">
        <v>0</v>
      </c>
      <c r="E156" s="44">
        <v>18.600000000000001</v>
      </c>
      <c r="F156" s="1">
        <v>0</v>
      </c>
      <c r="G156" s="1">
        <v>8</v>
      </c>
      <c r="H156" s="44">
        <v>0.45</v>
      </c>
      <c r="I156" s="44">
        <v>0</v>
      </c>
      <c r="J156" s="44">
        <v>18.95</v>
      </c>
      <c r="K156" s="44">
        <v>1.25</v>
      </c>
      <c r="L156" s="44">
        <v>2.1686746987951807E-2</v>
      </c>
      <c r="M156" s="44">
        <v>0</v>
      </c>
      <c r="N156" s="44">
        <v>0.91325301204819276</v>
      </c>
      <c r="O156" s="44">
        <v>6.0240963855421686E-2</v>
      </c>
      <c r="P156" s="50">
        <v>2.3025850929940459</v>
      </c>
      <c r="Q156" s="50">
        <v>0</v>
      </c>
      <c r="R156" s="50">
        <v>5.9401712527204316</v>
      </c>
      <c r="S156" s="50">
        <v>3.2580965380214821</v>
      </c>
    </row>
    <row r="157" spans="1:19" x14ac:dyDescent="0.25">
      <c r="A157" s="44">
        <v>2013</v>
      </c>
      <c r="B157" s="44">
        <v>1</v>
      </c>
      <c r="C157" s="6">
        <v>-81.01966666666668</v>
      </c>
      <c r="D157" s="44">
        <v>0</v>
      </c>
      <c r="E157" s="44">
        <v>13.6</v>
      </c>
      <c r="F157" s="1">
        <v>0</v>
      </c>
      <c r="G157" s="1">
        <v>11</v>
      </c>
      <c r="H157" s="44">
        <v>0</v>
      </c>
      <c r="I157" s="44">
        <v>13.55</v>
      </c>
      <c r="J157" s="44">
        <v>28.9</v>
      </c>
      <c r="K157" s="44">
        <v>0</v>
      </c>
      <c r="L157" s="44">
        <v>0</v>
      </c>
      <c r="M157" s="44">
        <v>0.3162193698949825</v>
      </c>
      <c r="N157" s="44">
        <v>0.67444574095682619</v>
      </c>
      <c r="O157" s="44">
        <v>0</v>
      </c>
      <c r="P157" s="50">
        <v>0</v>
      </c>
      <c r="Q157" s="50">
        <v>5.6058020662959978</v>
      </c>
      <c r="R157" s="50">
        <v>6.3613024775729956</v>
      </c>
      <c r="S157" s="50">
        <v>0</v>
      </c>
    </row>
    <row r="158" spans="1:19" x14ac:dyDescent="0.25">
      <c r="A158" s="44">
        <v>2013</v>
      </c>
      <c r="B158" s="44">
        <v>1</v>
      </c>
      <c r="C158" s="6">
        <v>-81.021999999999991</v>
      </c>
      <c r="D158" s="44">
        <v>0</v>
      </c>
      <c r="E158" s="44">
        <v>13.6</v>
      </c>
      <c r="F158" s="47">
        <v>0</v>
      </c>
      <c r="G158" s="21">
        <v>8</v>
      </c>
      <c r="H158" s="44">
        <v>0.3</v>
      </c>
      <c r="I158" s="44">
        <v>0</v>
      </c>
      <c r="J158" s="44">
        <v>24</v>
      </c>
      <c r="K158" s="44">
        <v>0.05</v>
      </c>
      <c r="L158" s="44">
        <v>1.2195121951219513E-2</v>
      </c>
      <c r="M158" s="44">
        <v>0</v>
      </c>
      <c r="N158" s="44">
        <v>0.97560975609756095</v>
      </c>
      <c r="O158" s="44">
        <v>2.0325203252032522E-3</v>
      </c>
      <c r="P158" s="50">
        <v>1.9459101490553132</v>
      </c>
      <c r="Q158" s="50">
        <v>0</v>
      </c>
      <c r="R158" s="50">
        <v>6.1758672701057611</v>
      </c>
      <c r="S158" s="50">
        <v>0.69314718055994529</v>
      </c>
    </row>
    <row r="159" spans="1:19" x14ac:dyDescent="0.25">
      <c r="A159" s="44">
        <v>2013</v>
      </c>
      <c r="B159" s="44">
        <v>1</v>
      </c>
      <c r="C159" s="6">
        <v>-81.47399999999999</v>
      </c>
      <c r="D159" s="44">
        <v>0</v>
      </c>
      <c r="E159" s="44">
        <v>11.9</v>
      </c>
      <c r="F159" s="1">
        <v>0</v>
      </c>
      <c r="G159" s="1">
        <v>6</v>
      </c>
      <c r="H159" s="44">
        <v>4.6500000000000004</v>
      </c>
      <c r="I159" s="44">
        <v>1.5</v>
      </c>
      <c r="J159" s="44">
        <v>46.2</v>
      </c>
      <c r="K159" s="44">
        <v>0</v>
      </c>
      <c r="L159" s="44">
        <v>8.3184257602862258E-2</v>
      </c>
      <c r="M159" s="44">
        <v>2.6833631484794274E-2</v>
      </c>
      <c r="N159" s="44">
        <v>0.82647584973166366</v>
      </c>
      <c r="O159" s="44">
        <v>0</v>
      </c>
      <c r="P159" s="50">
        <v>4.5432947822700038</v>
      </c>
      <c r="Q159" s="50">
        <v>3.4339872044851463</v>
      </c>
      <c r="R159" s="50">
        <v>6.8297937375124249</v>
      </c>
      <c r="S159" s="50">
        <v>0</v>
      </c>
    </row>
    <row r="160" spans="1:19" x14ac:dyDescent="0.25">
      <c r="A160" s="44">
        <v>2013</v>
      </c>
      <c r="B160" s="44">
        <v>1</v>
      </c>
      <c r="C160" s="6">
        <v>-81.476500000000001</v>
      </c>
      <c r="D160" s="44">
        <v>0</v>
      </c>
      <c r="E160" s="44">
        <v>11.8</v>
      </c>
      <c r="F160" s="1">
        <v>0</v>
      </c>
      <c r="G160" s="1">
        <v>9</v>
      </c>
      <c r="H160" s="44">
        <v>2.4500000000000002</v>
      </c>
      <c r="I160" s="44">
        <v>8.3000000000000007</v>
      </c>
      <c r="J160" s="44">
        <v>80.25</v>
      </c>
      <c r="K160" s="44">
        <v>0</v>
      </c>
      <c r="L160" s="44">
        <v>2.6273458445040216E-2</v>
      </c>
      <c r="M160" s="44">
        <v>8.9008042895442355E-2</v>
      </c>
      <c r="N160" s="44">
        <v>0.8605898123324397</v>
      </c>
      <c r="O160" s="44">
        <v>0</v>
      </c>
      <c r="P160" s="50">
        <v>3.912023005428146</v>
      </c>
      <c r="Q160" s="50">
        <v>5.1179938124167554</v>
      </c>
      <c r="R160" s="50">
        <v>7.381501894506707</v>
      </c>
      <c r="S160" s="50">
        <v>0</v>
      </c>
    </row>
    <row r="161" spans="1:19" x14ac:dyDescent="0.25">
      <c r="A161" s="44">
        <v>2013</v>
      </c>
      <c r="B161" s="44">
        <v>1</v>
      </c>
      <c r="C161" s="6">
        <v>-81.442833333333326</v>
      </c>
      <c r="D161" s="44">
        <v>0</v>
      </c>
      <c r="E161" s="44">
        <v>18.899999999999999</v>
      </c>
      <c r="F161" s="1">
        <v>0</v>
      </c>
      <c r="G161" s="1">
        <v>14</v>
      </c>
      <c r="H161" s="44">
        <v>2.4500000000000002</v>
      </c>
      <c r="I161" s="44">
        <v>2.2999999999999998</v>
      </c>
      <c r="J161" s="44">
        <v>1.45</v>
      </c>
      <c r="K161" s="44">
        <v>0</v>
      </c>
      <c r="L161" s="44">
        <v>0.3888888888888889</v>
      </c>
      <c r="M161" s="44">
        <v>0.36507936507936506</v>
      </c>
      <c r="N161" s="44">
        <v>0.23015873015873015</v>
      </c>
      <c r="O161" s="44">
        <v>0</v>
      </c>
      <c r="P161" s="50">
        <v>3.912023005428146</v>
      </c>
      <c r="Q161" s="50">
        <v>3.8501476017100584</v>
      </c>
      <c r="R161" s="50">
        <v>3.4011973816621555</v>
      </c>
      <c r="S161" s="50">
        <v>0</v>
      </c>
    </row>
    <row r="162" spans="1:19" x14ac:dyDescent="0.25">
      <c r="A162" s="44">
        <v>2013</v>
      </c>
      <c r="B162" s="44">
        <v>1</v>
      </c>
      <c r="C162" s="6">
        <v>-81.451999999999984</v>
      </c>
      <c r="D162" s="44">
        <v>1</v>
      </c>
      <c r="E162" s="44">
        <v>19.7</v>
      </c>
      <c r="F162" s="1">
        <v>0</v>
      </c>
      <c r="G162" s="1">
        <v>12</v>
      </c>
      <c r="H162" s="44">
        <v>1.4</v>
      </c>
      <c r="I162" s="44">
        <v>0.2</v>
      </c>
      <c r="J162" s="44">
        <v>14.4</v>
      </c>
      <c r="K162" s="44">
        <v>0.1</v>
      </c>
      <c r="L162" s="44">
        <v>8.5626911314984705E-2</v>
      </c>
      <c r="M162" s="44">
        <v>1.2232415902140673E-2</v>
      </c>
      <c r="N162" s="44">
        <v>0.88073394495412849</v>
      </c>
      <c r="O162" s="44">
        <v>6.1162079510703364E-3</v>
      </c>
      <c r="P162" s="50">
        <v>3.3672958299864741</v>
      </c>
      <c r="Q162" s="50">
        <v>1.6094379124341003</v>
      </c>
      <c r="R162" s="50">
        <v>5.6664266881124323</v>
      </c>
      <c r="S162" s="50">
        <v>1.0986122886681098</v>
      </c>
    </row>
    <row r="163" spans="1:19" x14ac:dyDescent="0.25">
      <c r="A163" s="44">
        <v>2013</v>
      </c>
      <c r="B163" s="44">
        <v>0</v>
      </c>
      <c r="C163" s="6">
        <v>-81.832333333333324</v>
      </c>
      <c r="D163" s="44">
        <v>0</v>
      </c>
      <c r="E163" s="44">
        <v>12</v>
      </c>
      <c r="F163" s="1">
        <v>0</v>
      </c>
      <c r="G163" s="1">
        <v>9</v>
      </c>
      <c r="H163" s="44">
        <v>4.8</v>
      </c>
      <c r="I163" s="44">
        <v>3.8</v>
      </c>
      <c r="J163" s="44">
        <v>36.5</v>
      </c>
      <c r="K163" s="44">
        <v>0.05</v>
      </c>
      <c r="L163" s="44">
        <v>0.10549450549450549</v>
      </c>
      <c r="M163" s="44">
        <v>8.3516483516483511E-2</v>
      </c>
      <c r="N163" s="44">
        <v>0.80219780219780223</v>
      </c>
      <c r="O163" s="44">
        <v>1.0989010989010989E-3</v>
      </c>
      <c r="P163" s="50">
        <v>4.5747109785033828</v>
      </c>
      <c r="Q163" s="50">
        <v>4.3438054218536841</v>
      </c>
      <c r="R163" s="50">
        <v>6.5944134597497781</v>
      </c>
      <c r="S163" s="50">
        <v>0.69314718055994529</v>
      </c>
    </row>
    <row r="164" spans="1:19" x14ac:dyDescent="0.25">
      <c r="A164" s="44">
        <v>2013</v>
      </c>
      <c r="B164" s="44">
        <v>0</v>
      </c>
      <c r="C164" s="6">
        <v>-81.828666666666678</v>
      </c>
      <c r="D164" s="44">
        <v>0</v>
      </c>
      <c r="E164" s="44">
        <v>11.9</v>
      </c>
      <c r="F164" s="1">
        <v>0</v>
      </c>
      <c r="G164" s="1">
        <v>6</v>
      </c>
      <c r="H164" s="44">
        <v>1.05</v>
      </c>
      <c r="I164" s="44">
        <v>0.1</v>
      </c>
      <c r="J164" s="44">
        <v>30.15</v>
      </c>
      <c r="K164" s="44">
        <v>0</v>
      </c>
      <c r="L164" s="44">
        <v>3.2761310452418098E-2</v>
      </c>
      <c r="M164" s="44">
        <v>3.1201248049921998E-3</v>
      </c>
      <c r="N164" s="44">
        <v>0.94071762870514819</v>
      </c>
      <c r="O164" s="44">
        <v>0</v>
      </c>
      <c r="P164" s="50">
        <v>3.0910424533583161</v>
      </c>
      <c r="Q164" s="50">
        <v>1.0986122886681098</v>
      </c>
      <c r="R164" s="50">
        <v>6.4035741979348151</v>
      </c>
      <c r="S164" s="50">
        <v>0</v>
      </c>
    </row>
    <row r="165" spans="1:19" x14ac:dyDescent="0.25">
      <c r="A165" s="44">
        <v>2013</v>
      </c>
      <c r="B165" s="44">
        <v>0</v>
      </c>
      <c r="C165" s="6">
        <v>-81.804500000000019</v>
      </c>
      <c r="D165" s="44">
        <v>1</v>
      </c>
      <c r="E165" s="44">
        <v>20.2</v>
      </c>
      <c r="F165" s="21">
        <v>0</v>
      </c>
      <c r="G165" s="21">
        <v>12</v>
      </c>
      <c r="H165" s="44">
        <v>0.35</v>
      </c>
      <c r="I165" s="44">
        <v>0</v>
      </c>
      <c r="J165" s="44">
        <v>10.6</v>
      </c>
      <c r="K165" s="44">
        <v>1.25</v>
      </c>
      <c r="L165" s="44">
        <v>2.7559055118110236E-2</v>
      </c>
      <c r="M165" s="44">
        <v>0</v>
      </c>
      <c r="N165" s="44">
        <v>0.83464566929133854</v>
      </c>
      <c r="O165" s="44">
        <v>9.8425196850393706E-2</v>
      </c>
      <c r="P165" s="50">
        <v>2.0794415416798357</v>
      </c>
      <c r="Q165" s="50">
        <v>0</v>
      </c>
      <c r="R165" s="50">
        <v>5.3612921657094255</v>
      </c>
      <c r="S165" s="50">
        <v>3.2580965380214821</v>
      </c>
    </row>
    <row r="166" spans="1:19" x14ac:dyDescent="0.25">
      <c r="A166" s="44">
        <v>2013</v>
      </c>
      <c r="B166" s="44">
        <v>0</v>
      </c>
      <c r="C166" s="6">
        <v>-81.802833333333339</v>
      </c>
      <c r="D166" s="44">
        <v>1</v>
      </c>
      <c r="E166" s="44">
        <v>20.399999999999999</v>
      </c>
      <c r="F166" s="1">
        <v>0</v>
      </c>
      <c r="G166" s="1">
        <v>9</v>
      </c>
      <c r="H166" s="44">
        <v>0.2</v>
      </c>
      <c r="I166" s="44">
        <v>0</v>
      </c>
      <c r="J166" s="44">
        <v>1.55</v>
      </c>
      <c r="K166" s="44">
        <v>0</v>
      </c>
      <c r="L166" s="44">
        <v>8.5106382978723402E-2</v>
      </c>
      <c r="M166" s="44">
        <v>0</v>
      </c>
      <c r="N166" s="44">
        <v>0.65957446808510634</v>
      </c>
      <c r="O166" s="44">
        <v>0</v>
      </c>
      <c r="P166" s="50">
        <v>1.6094379124341003</v>
      </c>
      <c r="Q166" s="50">
        <v>0</v>
      </c>
      <c r="R166" s="50">
        <v>3.4657359027997265</v>
      </c>
      <c r="S166" s="50">
        <v>0</v>
      </c>
    </row>
    <row r="167" spans="1:19" x14ac:dyDescent="0.25">
      <c r="A167" s="44">
        <v>2013</v>
      </c>
      <c r="B167" s="44">
        <v>0</v>
      </c>
      <c r="C167" s="6">
        <v>-81.80383333333333</v>
      </c>
      <c r="D167" s="44">
        <v>1</v>
      </c>
      <c r="E167" s="44">
        <v>20.3</v>
      </c>
      <c r="F167" s="21">
        <v>0</v>
      </c>
      <c r="G167" s="21">
        <v>15</v>
      </c>
      <c r="H167" s="44">
        <v>0.3</v>
      </c>
      <c r="I167" s="44">
        <v>0</v>
      </c>
      <c r="J167" s="44">
        <v>0.05</v>
      </c>
      <c r="K167" s="44">
        <v>0.3</v>
      </c>
      <c r="L167" s="44">
        <v>0.42857142857142855</v>
      </c>
      <c r="M167" s="44">
        <v>0</v>
      </c>
      <c r="N167" s="44">
        <v>7.1428571428571425E-2</v>
      </c>
      <c r="O167" s="44">
        <v>0.42857142857142855</v>
      </c>
      <c r="P167" s="50">
        <v>1.9459101490553132</v>
      </c>
      <c r="Q167" s="50">
        <v>0</v>
      </c>
      <c r="R167" s="50">
        <v>0.69314718055994529</v>
      </c>
      <c r="S167" s="50">
        <v>1.9459101490553132</v>
      </c>
    </row>
    <row r="168" spans="1:19" x14ac:dyDescent="0.25">
      <c r="A168" s="44">
        <v>2013</v>
      </c>
      <c r="B168" s="44">
        <v>0</v>
      </c>
      <c r="C168" s="17">
        <v>-81.751666666666679</v>
      </c>
      <c r="D168" s="44">
        <v>1</v>
      </c>
      <c r="E168" s="44">
        <v>23.9</v>
      </c>
      <c r="F168" s="47">
        <v>1</v>
      </c>
      <c r="G168" s="1">
        <v>18</v>
      </c>
      <c r="H168" s="44">
        <v>1.4</v>
      </c>
      <c r="I168" s="44">
        <v>1</v>
      </c>
      <c r="J168" s="44">
        <v>0.15</v>
      </c>
      <c r="K168" s="44">
        <v>0.25</v>
      </c>
      <c r="L168" s="44">
        <v>0.5</v>
      </c>
      <c r="M168" s="44">
        <v>0.35714285714285715</v>
      </c>
      <c r="N168" s="44">
        <v>5.3571428571428568E-2</v>
      </c>
      <c r="O168" s="44">
        <v>8.9285714285714288E-2</v>
      </c>
      <c r="P168" s="50">
        <v>3.3672958299864741</v>
      </c>
      <c r="Q168" s="50">
        <v>3.044522437723423</v>
      </c>
      <c r="R168" s="50">
        <v>1.3862943611198906</v>
      </c>
      <c r="S168" s="50">
        <v>1.791759469228055</v>
      </c>
    </row>
    <row r="169" spans="1:19" x14ac:dyDescent="0.25">
      <c r="A169" s="44">
        <v>2013</v>
      </c>
      <c r="B169" s="44">
        <v>0</v>
      </c>
      <c r="C169" s="6">
        <v>-81.742333333333349</v>
      </c>
      <c r="D169" s="44">
        <v>1</v>
      </c>
      <c r="E169" s="44">
        <v>24.1</v>
      </c>
      <c r="F169" s="1">
        <v>1</v>
      </c>
      <c r="G169" s="1">
        <v>16</v>
      </c>
      <c r="H169" s="44">
        <v>14.55</v>
      </c>
      <c r="I169" s="44">
        <v>0.05</v>
      </c>
      <c r="J169" s="44">
        <v>0.2</v>
      </c>
      <c r="K169" s="44">
        <v>1.3</v>
      </c>
      <c r="L169" s="44">
        <v>0.90372670807453415</v>
      </c>
      <c r="M169" s="44">
        <v>3.105590062111801E-3</v>
      </c>
      <c r="N169" s="44">
        <v>1.2422360248447204E-2</v>
      </c>
      <c r="O169" s="44">
        <v>8.0745341614906832E-2</v>
      </c>
      <c r="P169" s="50">
        <v>5.6767538022682817</v>
      </c>
      <c r="Q169" s="50">
        <v>0.69314718055994529</v>
      </c>
      <c r="R169" s="50">
        <v>1.6094379124341003</v>
      </c>
      <c r="S169" s="50">
        <v>3.2958368660043291</v>
      </c>
    </row>
    <row r="170" spans="1:19" x14ac:dyDescent="0.25">
      <c r="A170" s="44">
        <v>2013</v>
      </c>
      <c r="B170" s="44">
        <v>0</v>
      </c>
      <c r="C170" s="6">
        <v>-81.729166666666671</v>
      </c>
      <c r="D170" s="44">
        <v>1</v>
      </c>
      <c r="E170" s="44">
        <v>24.1</v>
      </c>
      <c r="F170" s="1">
        <v>0</v>
      </c>
      <c r="G170" s="1">
        <v>13</v>
      </c>
      <c r="H170" s="44">
        <v>6.8</v>
      </c>
      <c r="I170" s="44">
        <v>0</v>
      </c>
      <c r="J170" s="44">
        <v>0.05</v>
      </c>
      <c r="K170" s="44">
        <v>1.25</v>
      </c>
      <c r="L170" s="44">
        <v>0.83435582822085885</v>
      </c>
      <c r="M170" s="44">
        <v>0</v>
      </c>
      <c r="N170" s="44">
        <v>6.1349693251533744E-3</v>
      </c>
      <c r="O170" s="44">
        <v>0.15337423312883436</v>
      </c>
      <c r="P170" s="50">
        <v>4.9199809258281251</v>
      </c>
      <c r="Q170" s="50">
        <v>0</v>
      </c>
      <c r="R170" s="50">
        <v>0.69314718055994529</v>
      </c>
      <c r="S170" s="50">
        <v>3.2580965380214821</v>
      </c>
    </row>
    <row r="171" spans="1:19" x14ac:dyDescent="0.25">
      <c r="A171" s="44">
        <v>2013</v>
      </c>
      <c r="B171" s="44">
        <v>0</v>
      </c>
      <c r="C171" s="6">
        <v>-82.146333333333331</v>
      </c>
      <c r="D171" s="44">
        <v>1</v>
      </c>
      <c r="E171" s="44">
        <v>21</v>
      </c>
      <c r="F171" s="47">
        <v>1</v>
      </c>
      <c r="G171" s="1">
        <v>18</v>
      </c>
      <c r="H171" s="44">
        <v>0.2</v>
      </c>
      <c r="I171" s="44">
        <v>0.15</v>
      </c>
      <c r="J171" s="44">
        <v>0</v>
      </c>
      <c r="K171" s="44">
        <v>0.15</v>
      </c>
      <c r="L171" s="44">
        <v>0.4</v>
      </c>
      <c r="M171" s="44">
        <v>0.3</v>
      </c>
      <c r="N171" s="44">
        <v>0</v>
      </c>
      <c r="O171" s="44">
        <v>0.3</v>
      </c>
      <c r="P171" s="50">
        <v>1.6094379124341003</v>
      </c>
      <c r="Q171" s="50">
        <v>1.3862943611198906</v>
      </c>
      <c r="R171" s="50">
        <v>0</v>
      </c>
      <c r="S171" s="50">
        <v>1.3862943611198906</v>
      </c>
    </row>
    <row r="172" spans="1:19" x14ac:dyDescent="0.25">
      <c r="A172" s="44">
        <v>2013</v>
      </c>
      <c r="B172" s="44">
        <v>0</v>
      </c>
      <c r="C172" s="6">
        <v>-82.138333333333335</v>
      </c>
      <c r="D172" s="44">
        <v>1</v>
      </c>
      <c r="E172" s="44">
        <v>21.1</v>
      </c>
      <c r="F172" s="47">
        <v>1</v>
      </c>
      <c r="G172" s="1">
        <v>18</v>
      </c>
      <c r="H172" s="44">
        <v>1</v>
      </c>
      <c r="I172" s="44">
        <v>0.05</v>
      </c>
      <c r="J172" s="44">
        <v>0.15</v>
      </c>
      <c r="K172" s="44">
        <v>0.2</v>
      </c>
      <c r="L172" s="44">
        <v>0.58823529411764708</v>
      </c>
      <c r="M172" s="44">
        <v>2.9411764705882353E-2</v>
      </c>
      <c r="N172" s="44">
        <v>8.8235294117647065E-2</v>
      </c>
      <c r="O172" s="44">
        <v>0.11764705882352941</v>
      </c>
      <c r="P172" s="50">
        <v>3.044522437723423</v>
      </c>
      <c r="Q172" s="50">
        <v>0.69314718055994529</v>
      </c>
      <c r="R172" s="50">
        <v>1.3862943611198906</v>
      </c>
      <c r="S172" s="50">
        <v>1.6094379124341003</v>
      </c>
    </row>
    <row r="173" spans="1:19" x14ac:dyDescent="0.25">
      <c r="A173" s="44">
        <v>2013</v>
      </c>
      <c r="B173" s="44">
        <v>0</v>
      </c>
      <c r="C173" s="6">
        <v>-82.148166666666654</v>
      </c>
      <c r="D173" s="44">
        <v>1</v>
      </c>
      <c r="E173" s="44">
        <v>21.1</v>
      </c>
      <c r="F173" s="1">
        <v>0</v>
      </c>
      <c r="G173" s="1">
        <v>15</v>
      </c>
      <c r="H173" s="44">
        <v>0.4</v>
      </c>
      <c r="I173" s="44">
        <v>0</v>
      </c>
      <c r="J173" s="44">
        <v>0.15</v>
      </c>
      <c r="K173" s="44">
        <v>0.1</v>
      </c>
      <c r="L173" s="44">
        <v>0.5</v>
      </c>
      <c r="M173" s="44">
        <v>0</v>
      </c>
      <c r="N173" s="44">
        <v>0.1875</v>
      </c>
      <c r="O173" s="44">
        <v>0.125</v>
      </c>
      <c r="P173" s="50">
        <v>2.1972245773362196</v>
      </c>
      <c r="Q173" s="50">
        <v>0</v>
      </c>
      <c r="R173" s="50">
        <v>1.3862943611198906</v>
      </c>
      <c r="S173" s="50">
        <v>1.0986122886681098</v>
      </c>
    </row>
    <row r="174" spans="1:19" x14ac:dyDescent="0.25">
      <c r="A174" s="44">
        <v>2013</v>
      </c>
      <c r="B174" s="44">
        <v>0</v>
      </c>
      <c r="C174" s="6">
        <v>-82.154500000000013</v>
      </c>
      <c r="D174" s="44">
        <v>1</v>
      </c>
      <c r="E174" s="44">
        <v>21</v>
      </c>
      <c r="F174" s="1">
        <v>0</v>
      </c>
      <c r="G174" s="1">
        <v>5</v>
      </c>
      <c r="H174" s="44">
        <v>0.6</v>
      </c>
      <c r="I174" s="44">
        <v>0</v>
      </c>
      <c r="J174" s="44">
        <v>4.7</v>
      </c>
      <c r="K174" s="44">
        <v>0</v>
      </c>
      <c r="L174" s="44">
        <v>9.4488188976377951E-2</v>
      </c>
      <c r="M174" s="44">
        <v>0</v>
      </c>
      <c r="N174" s="44">
        <v>0.74015748031496065</v>
      </c>
      <c r="O174" s="44">
        <v>0</v>
      </c>
      <c r="P174" s="50">
        <v>2.5649493574615367</v>
      </c>
      <c r="Q174" s="50">
        <v>0</v>
      </c>
      <c r="R174" s="50">
        <v>4.5538768916005408</v>
      </c>
      <c r="S174" s="50">
        <v>0</v>
      </c>
    </row>
    <row r="175" spans="1:19" x14ac:dyDescent="0.25">
      <c r="A175" s="44">
        <v>2013</v>
      </c>
      <c r="B175" s="44">
        <v>0</v>
      </c>
      <c r="C175" s="6">
        <v>-82.210499999999982</v>
      </c>
      <c r="D175" s="44">
        <v>1</v>
      </c>
      <c r="E175" s="44">
        <v>20.8</v>
      </c>
      <c r="F175" s="47">
        <v>1</v>
      </c>
      <c r="G175" s="1">
        <v>18</v>
      </c>
      <c r="H175" s="44">
        <v>3.4</v>
      </c>
      <c r="I175" s="44">
        <v>2.15</v>
      </c>
      <c r="J175" s="44">
        <v>0.1</v>
      </c>
      <c r="K175" s="44">
        <v>1.05</v>
      </c>
      <c r="L175" s="44">
        <v>0.44736842105263158</v>
      </c>
      <c r="M175" s="44">
        <v>0.28289473684210525</v>
      </c>
      <c r="N175" s="44">
        <v>1.3157894736842105E-2</v>
      </c>
      <c r="O175" s="44">
        <v>0.13815789473684212</v>
      </c>
      <c r="P175" s="50">
        <v>4.2341065045972597</v>
      </c>
      <c r="Q175" s="50">
        <v>3.784189633918261</v>
      </c>
      <c r="R175" s="50">
        <v>1.0986122886681098</v>
      </c>
      <c r="S175" s="50">
        <v>3.0910424533583161</v>
      </c>
    </row>
    <row r="176" spans="1:19" x14ac:dyDescent="0.25">
      <c r="A176" s="44">
        <v>2013</v>
      </c>
      <c r="B176" s="44">
        <v>0</v>
      </c>
      <c r="C176" s="6">
        <v>-82.199666666666658</v>
      </c>
      <c r="D176" s="44">
        <v>1</v>
      </c>
      <c r="E176" s="44">
        <v>20.8</v>
      </c>
      <c r="F176" s="1">
        <v>0</v>
      </c>
      <c r="G176" s="1">
        <v>15</v>
      </c>
      <c r="H176" s="44">
        <v>2.1</v>
      </c>
      <c r="I176" s="44">
        <v>0.05</v>
      </c>
      <c r="J176" s="44">
        <v>0.1</v>
      </c>
      <c r="K176" s="44">
        <v>1.7</v>
      </c>
      <c r="L176" s="44">
        <v>0.48837209302325579</v>
      </c>
      <c r="M176" s="44">
        <v>1.1627906976744186E-2</v>
      </c>
      <c r="N176" s="44">
        <v>2.3255813953488372E-2</v>
      </c>
      <c r="O176" s="44">
        <v>0.39534883720930231</v>
      </c>
      <c r="P176" s="50">
        <v>3.7612001156935624</v>
      </c>
      <c r="Q176" s="50">
        <v>0.69314718055994529</v>
      </c>
      <c r="R176" s="50">
        <v>1.0986122886681098</v>
      </c>
      <c r="S176" s="50">
        <v>3.5553480614894135</v>
      </c>
    </row>
    <row r="177" spans="1:19" x14ac:dyDescent="0.25">
      <c r="A177" s="44">
        <v>2013</v>
      </c>
      <c r="B177" s="44">
        <v>0</v>
      </c>
      <c r="C177" s="6">
        <v>-82.207333333333352</v>
      </c>
      <c r="D177" s="44">
        <v>1</v>
      </c>
      <c r="E177" s="44">
        <v>20.8</v>
      </c>
      <c r="F177" s="1">
        <v>0</v>
      </c>
      <c r="G177" s="1">
        <v>5</v>
      </c>
      <c r="H177" s="44">
        <v>0.05</v>
      </c>
      <c r="I177" s="44">
        <v>0</v>
      </c>
      <c r="J177" s="44">
        <v>1.75</v>
      </c>
      <c r="K177" s="44">
        <v>0.15</v>
      </c>
      <c r="L177" s="44">
        <v>2.3255813953488372E-2</v>
      </c>
      <c r="M177" s="44">
        <v>0</v>
      </c>
      <c r="N177" s="44">
        <v>0.81395348837209303</v>
      </c>
      <c r="O177" s="44">
        <v>6.9767441860465115E-2</v>
      </c>
      <c r="P177" s="50">
        <v>0.69314718055994529</v>
      </c>
      <c r="Q177" s="50">
        <v>0</v>
      </c>
      <c r="R177" s="50">
        <v>3.5835189384561099</v>
      </c>
      <c r="S177" s="50">
        <v>1.3862943611198906</v>
      </c>
    </row>
    <row r="178" spans="1:19" x14ac:dyDescent="0.25">
      <c r="A178" s="44">
        <v>2013</v>
      </c>
      <c r="B178" s="44">
        <v>0</v>
      </c>
      <c r="C178" s="6">
        <v>-82.263666666666651</v>
      </c>
      <c r="D178" s="44">
        <v>0</v>
      </c>
      <c r="E178" s="44">
        <v>12.6</v>
      </c>
      <c r="F178" s="1">
        <v>0</v>
      </c>
      <c r="G178" s="1">
        <v>10</v>
      </c>
      <c r="H178" s="44">
        <v>0</v>
      </c>
      <c r="I178" s="44">
        <v>0</v>
      </c>
      <c r="J178" s="44">
        <v>60.75</v>
      </c>
      <c r="K178" s="44">
        <v>1</v>
      </c>
      <c r="L178" s="44">
        <v>0</v>
      </c>
      <c r="M178" s="44">
        <v>0</v>
      </c>
      <c r="N178" s="44">
        <v>0.97826086956521741</v>
      </c>
      <c r="O178" s="44">
        <v>1.610305958132045E-2</v>
      </c>
      <c r="P178" s="50">
        <v>0</v>
      </c>
      <c r="Q178" s="50">
        <v>0</v>
      </c>
      <c r="R178" s="50">
        <v>7.1033220625261126</v>
      </c>
      <c r="S178" s="50">
        <v>3.044522437723423</v>
      </c>
    </row>
    <row r="179" spans="1:19" x14ac:dyDescent="0.25">
      <c r="A179" s="44">
        <v>2013</v>
      </c>
      <c r="B179" s="44">
        <v>0</v>
      </c>
      <c r="C179" s="6">
        <v>-82.25566666666667</v>
      </c>
      <c r="D179" s="44">
        <v>0</v>
      </c>
      <c r="E179" s="44">
        <v>15.5</v>
      </c>
      <c r="F179" s="1">
        <v>0</v>
      </c>
      <c r="G179" s="1">
        <v>5</v>
      </c>
      <c r="H179" s="44">
        <v>0.05</v>
      </c>
      <c r="I179" s="44">
        <v>0</v>
      </c>
      <c r="J179" s="44">
        <v>25</v>
      </c>
      <c r="K179" s="44">
        <v>0.15</v>
      </c>
      <c r="L179" s="44">
        <v>1.7636684303350969E-3</v>
      </c>
      <c r="M179" s="44">
        <v>0</v>
      </c>
      <c r="N179" s="44">
        <v>0.88183421516754845</v>
      </c>
      <c r="O179" s="44">
        <v>5.2910052910052907E-3</v>
      </c>
      <c r="P179" s="50">
        <v>0.69314718055994529</v>
      </c>
      <c r="Q179" s="50">
        <v>0</v>
      </c>
      <c r="R179" s="50">
        <v>6.2166061010848646</v>
      </c>
      <c r="S179" s="50">
        <v>1.3862943611198906</v>
      </c>
    </row>
    <row r="180" spans="1:19" x14ac:dyDescent="0.25">
      <c r="A180" s="44">
        <v>2014</v>
      </c>
      <c r="B180" s="44">
        <v>1</v>
      </c>
      <c r="C180" s="6">
        <v>-81.006399999999999</v>
      </c>
      <c r="D180" s="44">
        <v>0</v>
      </c>
      <c r="E180" s="44">
        <v>13.5</v>
      </c>
      <c r="F180" s="1">
        <v>0</v>
      </c>
      <c r="G180" s="1">
        <v>11</v>
      </c>
      <c r="H180" s="44">
        <v>9.0500000000000007</v>
      </c>
      <c r="I180" s="44">
        <v>3.9</v>
      </c>
      <c r="J180" s="44">
        <v>18</v>
      </c>
      <c r="K180" s="44">
        <v>0.65</v>
      </c>
      <c r="L180" s="44">
        <v>0.27465857359635809</v>
      </c>
      <c r="M180" s="44">
        <v>0.11836115326251896</v>
      </c>
      <c r="N180" s="44">
        <v>0.54628224582701057</v>
      </c>
      <c r="O180" s="44">
        <v>1.9726858877086494E-2</v>
      </c>
      <c r="P180" s="50">
        <v>5.2040066870767951</v>
      </c>
      <c r="Q180" s="50">
        <v>4.3694478524670215</v>
      </c>
      <c r="R180" s="50">
        <v>5.8888779583328805</v>
      </c>
      <c r="S180" s="50">
        <v>2.6390573296152584</v>
      </c>
    </row>
    <row r="181" spans="1:19" x14ac:dyDescent="0.25">
      <c r="A181" s="44">
        <v>2014</v>
      </c>
      <c r="B181" s="44">
        <v>1</v>
      </c>
      <c r="C181" s="6">
        <v>-81.007599999999996</v>
      </c>
      <c r="D181" s="44">
        <v>0</v>
      </c>
      <c r="E181" s="44">
        <v>13.5</v>
      </c>
      <c r="F181" s="1">
        <v>0</v>
      </c>
      <c r="G181" s="1">
        <v>12</v>
      </c>
      <c r="H181" s="44">
        <v>26.75</v>
      </c>
      <c r="I181" s="44">
        <v>0.1</v>
      </c>
      <c r="J181" s="44">
        <v>14.7</v>
      </c>
      <c r="K181" s="44">
        <v>2.0499999999999998</v>
      </c>
      <c r="L181" s="44">
        <v>0.58855885588558854</v>
      </c>
      <c r="M181" s="44">
        <v>2.2002200220022001E-3</v>
      </c>
      <c r="N181" s="44">
        <v>0.32343234323432341</v>
      </c>
      <c r="O181" s="44">
        <v>4.5104510451045104E-2</v>
      </c>
      <c r="P181" s="50">
        <v>6.2841341610708019</v>
      </c>
      <c r="Q181" s="50">
        <v>1.0986122886681098</v>
      </c>
      <c r="R181" s="50">
        <v>5.6869753563398202</v>
      </c>
      <c r="S181" s="50">
        <v>3.7376696182833684</v>
      </c>
    </row>
    <row r="182" spans="1:19" x14ac:dyDescent="0.25">
      <c r="A182" s="44">
        <v>2014</v>
      </c>
      <c r="B182" s="44">
        <v>1</v>
      </c>
      <c r="C182" s="6">
        <v>-80.584599999999995</v>
      </c>
      <c r="D182" s="44">
        <v>0</v>
      </c>
      <c r="E182" s="44">
        <v>18.5</v>
      </c>
      <c r="F182" s="1">
        <v>0</v>
      </c>
      <c r="G182" s="1">
        <v>5</v>
      </c>
      <c r="H182" s="44">
        <v>2.3199999999999998</v>
      </c>
      <c r="I182" s="44">
        <v>0</v>
      </c>
      <c r="J182" s="44">
        <v>0.92</v>
      </c>
      <c r="K182" s="44">
        <v>16.84</v>
      </c>
      <c r="L182" s="44">
        <v>0.10450450450450451</v>
      </c>
      <c r="M182" s="44">
        <v>0</v>
      </c>
      <c r="N182" s="44">
        <v>4.1441441441441441E-2</v>
      </c>
      <c r="O182" s="44">
        <v>0.75855855855855858</v>
      </c>
      <c r="P182" s="50">
        <v>4.0775374439057197</v>
      </c>
      <c r="Q182" s="50">
        <v>0</v>
      </c>
      <c r="R182" s="50">
        <v>3.1780538303479458</v>
      </c>
      <c r="S182" s="50">
        <v>6.045005314036012</v>
      </c>
    </row>
    <row r="183" spans="1:19" x14ac:dyDescent="0.25">
      <c r="A183" s="44">
        <v>2014</v>
      </c>
      <c r="B183" s="44">
        <v>1</v>
      </c>
      <c r="C183" s="6">
        <v>-80.581299999999999</v>
      </c>
      <c r="D183" s="44">
        <v>0</v>
      </c>
      <c r="E183" s="44">
        <v>18.7</v>
      </c>
      <c r="F183" s="1">
        <v>0</v>
      </c>
      <c r="G183" s="1">
        <v>10</v>
      </c>
      <c r="H183" s="44">
        <v>21.8</v>
      </c>
      <c r="I183" s="44">
        <v>0.1</v>
      </c>
      <c r="J183" s="44">
        <v>0.25</v>
      </c>
      <c r="K183" s="44">
        <v>9.4</v>
      </c>
      <c r="L183" s="44">
        <v>0.58055925432756328</v>
      </c>
      <c r="M183" s="44">
        <v>2.6631158455392811E-3</v>
      </c>
      <c r="N183" s="44">
        <v>6.6577896138482022E-3</v>
      </c>
      <c r="O183" s="44">
        <v>0.25033288948069243</v>
      </c>
      <c r="P183" s="50">
        <v>6.0799331950955899</v>
      </c>
      <c r="Q183" s="50">
        <v>1.0986122886681098</v>
      </c>
      <c r="R183" s="50">
        <v>1.791759469228055</v>
      </c>
      <c r="S183" s="50">
        <v>5.2417470150596426</v>
      </c>
    </row>
    <row r="184" spans="1:19" x14ac:dyDescent="0.25">
      <c r="A184" s="44">
        <v>2014</v>
      </c>
      <c r="B184" s="44">
        <v>1</v>
      </c>
      <c r="C184" s="6">
        <v>-80.584699999999998</v>
      </c>
      <c r="D184" s="44">
        <v>0</v>
      </c>
      <c r="E184" s="44">
        <v>18.5</v>
      </c>
      <c r="F184" s="1">
        <v>0</v>
      </c>
      <c r="G184" s="1">
        <v>13</v>
      </c>
      <c r="H184" s="44">
        <v>6.3</v>
      </c>
      <c r="I184" s="44">
        <v>9.5500000000000007</v>
      </c>
      <c r="J184" s="44">
        <v>0.2</v>
      </c>
      <c r="K184" s="44">
        <v>2.6</v>
      </c>
      <c r="L184" s="44">
        <v>0.32225063938618925</v>
      </c>
      <c r="M184" s="44">
        <v>0.48849104859335041</v>
      </c>
      <c r="N184" s="44">
        <v>1.0230179028132993E-2</v>
      </c>
      <c r="O184" s="44">
        <v>0.13299232736572891</v>
      </c>
      <c r="P184" s="50">
        <v>4.8441870864585912</v>
      </c>
      <c r="Q184" s="50">
        <v>5.2574953720277815</v>
      </c>
      <c r="R184" s="50">
        <v>1.6094379124341003</v>
      </c>
      <c r="S184" s="50">
        <v>3.970291913552122</v>
      </c>
    </row>
    <row r="185" spans="1:19" x14ac:dyDescent="0.25">
      <c r="A185" s="44">
        <v>2014</v>
      </c>
      <c r="B185" s="44">
        <v>1</v>
      </c>
      <c r="C185" s="6">
        <v>-80.554299999999998</v>
      </c>
      <c r="D185" s="44">
        <v>1</v>
      </c>
      <c r="E185" s="44">
        <v>20.7</v>
      </c>
      <c r="F185" s="1">
        <v>0</v>
      </c>
      <c r="G185" s="1">
        <v>5</v>
      </c>
      <c r="H185" s="44">
        <v>1.1499999999999999</v>
      </c>
      <c r="I185" s="44">
        <v>0</v>
      </c>
      <c r="J185" s="44">
        <v>0</v>
      </c>
      <c r="K185" s="44">
        <v>7.9</v>
      </c>
      <c r="L185" s="44">
        <v>0.12105263157894737</v>
      </c>
      <c r="M185" s="44">
        <v>0</v>
      </c>
      <c r="N185" s="44">
        <v>0</v>
      </c>
      <c r="O185" s="44">
        <v>0.83157894736842108</v>
      </c>
      <c r="P185" s="50">
        <v>3.1780538303479458</v>
      </c>
      <c r="Q185" s="50">
        <v>0</v>
      </c>
      <c r="R185" s="50">
        <v>0</v>
      </c>
      <c r="S185" s="50">
        <v>5.0689042022202315</v>
      </c>
    </row>
    <row r="186" spans="1:19" x14ac:dyDescent="0.25">
      <c r="A186" s="44">
        <v>2014</v>
      </c>
      <c r="B186" s="44">
        <v>1</v>
      </c>
      <c r="C186" s="6">
        <v>-80.550699999999992</v>
      </c>
      <c r="D186" s="44">
        <v>1</v>
      </c>
      <c r="E186" s="44">
        <v>20.6</v>
      </c>
      <c r="F186" s="1">
        <v>0</v>
      </c>
      <c r="G186" s="1">
        <v>11</v>
      </c>
      <c r="H186" s="44">
        <v>23.3</v>
      </c>
      <c r="I186" s="44">
        <v>0.05</v>
      </c>
      <c r="J186" s="44">
        <v>0.05</v>
      </c>
      <c r="K186" s="44">
        <v>5.95</v>
      </c>
      <c r="L186" s="44">
        <v>0.74085850556438793</v>
      </c>
      <c r="M186" s="44">
        <v>1.589825119236884E-3</v>
      </c>
      <c r="N186" s="44">
        <v>1.589825119236884E-3</v>
      </c>
      <c r="O186" s="44">
        <v>0.1891891891891892</v>
      </c>
      <c r="P186" s="50">
        <v>6.1463292576688975</v>
      </c>
      <c r="Q186" s="50">
        <v>0.69314718055994529</v>
      </c>
      <c r="R186" s="50">
        <v>0.69314718055994529</v>
      </c>
      <c r="S186" s="50">
        <v>4.7874917427820458</v>
      </c>
    </row>
    <row r="187" spans="1:19" x14ac:dyDescent="0.25">
      <c r="A187" s="44">
        <v>2014</v>
      </c>
      <c r="B187" s="44">
        <v>1</v>
      </c>
      <c r="C187" s="6">
        <v>-80.552599999999998</v>
      </c>
      <c r="D187" s="44">
        <v>1</v>
      </c>
      <c r="E187" s="44">
        <v>20.5</v>
      </c>
      <c r="F187" s="1">
        <v>0</v>
      </c>
      <c r="G187" s="1">
        <v>14</v>
      </c>
      <c r="H187" s="44">
        <v>3</v>
      </c>
      <c r="I187" s="44">
        <v>0.7</v>
      </c>
      <c r="J187" s="44">
        <v>0.05</v>
      </c>
      <c r="K187" s="44">
        <v>2.25</v>
      </c>
      <c r="L187" s="44">
        <v>0.47244094488188976</v>
      </c>
      <c r="M187" s="44">
        <v>0.11023622047244094</v>
      </c>
      <c r="N187" s="44">
        <v>7.874015748031496E-3</v>
      </c>
      <c r="O187" s="44">
        <v>0.3543307086614173</v>
      </c>
      <c r="P187" s="50">
        <v>4.1108738641733114</v>
      </c>
      <c r="Q187" s="50">
        <v>2.7080502011022101</v>
      </c>
      <c r="R187" s="50">
        <v>0.69314718055994529</v>
      </c>
      <c r="S187" s="50">
        <v>3.8286413964890951</v>
      </c>
    </row>
    <row r="188" spans="1:19" x14ac:dyDescent="0.25">
      <c r="A188" s="44">
        <v>2014</v>
      </c>
      <c r="B188" s="44">
        <v>1</v>
      </c>
      <c r="C188" s="6">
        <v>-80.5505</v>
      </c>
      <c r="D188" s="44">
        <v>1</v>
      </c>
      <c r="E188" s="44">
        <v>20.5</v>
      </c>
      <c r="F188" s="1">
        <v>1</v>
      </c>
      <c r="G188" s="1">
        <v>17</v>
      </c>
      <c r="H188" s="44">
        <v>1.05</v>
      </c>
      <c r="I188" s="44">
        <v>1.4</v>
      </c>
      <c r="J188" s="44">
        <v>0</v>
      </c>
      <c r="K188" s="44">
        <v>0.9</v>
      </c>
      <c r="L188" s="44">
        <v>0.28378378378378377</v>
      </c>
      <c r="M188" s="44">
        <v>0.3783783783783784</v>
      </c>
      <c r="N188" s="44">
        <v>0</v>
      </c>
      <c r="O188" s="44">
        <v>0.24324324324324326</v>
      </c>
      <c r="P188" s="50">
        <v>3.0910424533583161</v>
      </c>
      <c r="Q188" s="50">
        <v>3.3672958299864741</v>
      </c>
      <c r="R188" s="50">
        <v>0</v>
      </c>
      <c r="S188" s="50">
        <v>2.9444389791664403</v>
      </c>
    </row>
    <row r="189" spans="1:19" x14ac:dyDescent="0.25">
      <c r="A189" s="44">
        <v>2014</v>
      </c>
      <c r="B189" s="44">
        <v>1</v>
      </c>
      <c r="C189" s="6">
        <v>-81.283100000000005</v>
      </c>
      <c r="D189" s="44">
        <v>0</v>
      </c>
      <c r="E189" s="44">
        <v>11.5</v>
      </c>
      <c r="F189" s="1">
        <v>0</v>
      </c>
      <c r="G189" s="1">
        <v>5</v>
      </c>
      <c r="H189" s="44">
        <v>4.5</v>
      </c>
      <c r="I189" s="44">
        <v>0.1</v>
      </c>
      <c r="J189" s="44">
        <v>34.049999999999997</v>
      </c>
      <c r="K189" s="44">
        <v>1.25</v>
      </c>
      <c r="L189" s="44">
        <v>9.8360655737704916E-2</v>
      </c>
      <c r="M189" s="44">
        <v>2.185792349726776E-3</v>
      </c>
      <c r="N189" s="44">
        <v>0.74426229508196717</v>
      </c>
      <c r="O189" s="44">
        <v>2.7322404371584699E-2</v>
      </c>
      <c r="P189" s="50">
        <v>4.5108595065168497</v>
      </c>
      <c r="Q189" s="50">
        <v>1.0986122886681098</v>
      </c>
      <c r="R189" s="50">
        <v>6.5250296578434623</v>
      </c>
      <c r="S189" s="50">
        <v>3.2580965380214821</v>
      </c>
    </row>
    <row r="190" spans="1:19" x14ac:dyDescent="0.25">
      <c r="A190" s="44">
        <v>2014</v>
      </c>
      <c r="B190" s="44">
        <v>1</v>
      </c>
      <c r="C190" s="6">
        <v>-81.276600000000002</v>
      </c>
      <c r="D190" s="44">
        <v>0</v>
      </c>
      <c r="E190" s="44">
        <v>14.2</v>
      </c>
      <c r="F190" s="1">
        <v>0</v>
      </c>
      <c r="G190" s="1">
        <v>9</v>
      </c>
      <c r="H190" s="44">
        <v>2</v>
      </c>
      <c r="I190" s="44">
        <v>0.9</v>
      </c>
      <c r="J190" s="44">
        <v>152.30000000000001</v>
      </c>
      <c r="K190" s="44">
        <v>0.4</v>
      </c>
      <c r="L190" s="44">
        <v>1.2472715933894606E-2</v>
      </c>
      <c r="M190" s="44">
        <v>5.6127221702525721E-3</v>
      </c>
      <c r="N190" s="44">
        <v>0.94979731836607417</v>
      </c>
      <c r="O190" s="44">
        <v>2.494543186778921E-3</v>
      </c>
      <c r="P190" s="50">
        <v>3.713572066704308</v>
      </c>
      <c r="Q190" s="50">
        <v>2.9444389791664403</v>
      </c>
      <c r="R190" s="50">
        <v>8.0219127789857083</v>
      </c>
      <c r="S190" s="50">
        <v>2.1972245773362196</v>
      </c>
    </row>
    <row r="191" spans="1:19" x14ac:dyDescent="0.25">
      <c r="A191" s="44">
        <v>2014</v>
      </c>
      <c r="B191" s="44">
        <v>1</v>
      </c>
      <c r="C191" s="6">
        <v>-81.263900000000007</v>
      </c>
      <c r="D191" s="44">
        <v>0</v>
      </c>
      <c r="E191" s="44">
        <v>18.8</v>
      </c>
      <c r="F191" s="1">
        <v>0</v>
      </c>
      <c r="G191" s="1">
        <v>5</v>
      </c>
      <c r="H191" s="44">
        <v>0.35</v>
      </c>
      <c r="I191" s="44">
        <v>0</v>
      </c>
      <c r="J191" s="44">
        <v>13.3</v>
      </c>
      <c r="K191" s="44">
        <v>6.3</v>
      </c>
      <c r="L191" s="44">
        <v>1.7543859649122806E-2</v>
      </c>
      <c r="M191" s="44">
        <v>0</v>
      </c>
      <c r="N191" s="44">
        <v>0.66666666666666663</v>
      </c>
      <c r="O191" s="44">
        <v>0.31578947368421051</v>
      </c>
      <c r="P191" s="50">
        <v>2.0794415416798357</v>
      </c>
      <c r="Q191" s="50">
        <v>0</v>
      </c>
      <c r="R191" s="50">
        <v>5.5872486584002496</v>
      </c>
      <c r="S191" s="50">
        <v>4.8441870864585912</v>
      </c>
    </row>
    <row r="192" spans="1:19" x14ac:dyDescent="0.25">
      <c r="A192" s="44">
        <v>2014</v>
      </c>
      <c r="B192" s="44">
        <v>1</v>
      </c>
      <c r="C192" s="6">
        <v>-81.265500000000003</v>
      </c>
      <c r="D192" s="44">
        <v>0</v>
      </c>
      <c r="E192" s="44">
        <v>18.2</v>
      </c>
      <c r="F192" s="1">
        <v>0</v>
      </c>
      <c r="G192" s="1">
        <v>10</v>
      </c>
      <c r="H192" s="44">
        <v>11</v>
      </c>
      <c r="I192" s="44">
        <v>0.45</v>
      </c>
      <c r="J192" s="44">
        <v>77.599999999999994</v>
      </c>
      <c r="K192" s="44">
        <v>9.75</v>
      </c>
      <c r="L192" s="44">
        <v>9.8214285714285712E-2</v>
      </c>
      <c r="M192" s="44">
        <v>4.0178571428571425E-3</v>
      </c>
      <c r="N192" s="44">
        <v>0.69285714285714284</v>
      </c>
      <c r="O192" s="44">
        <v>8.7053571428571425E-2</v>
      </c>
      <c r="P192" s="50">
        <v>5.3981627015177525</v>
      </c>
      <c r="Q192" s="50">
        <v>2.3025850929940459</v>
      </c>
      <c r="R192" s="50">
        <v>7.3479438231486869</v>
      </c>
      <c r="S192" s="50">
        <v>5.2781146592305168</v>
      </c>
    </row>
    <row r="193" spans="1:19" x14ac:dyDescent="0.25">
      <c r="A193" s="44">
        <v>2014</v>
      </c>
      <c r="B193" s="44">
        <v>1</v>
      </c>
      <c r="C193" s="6">
        <v>-81.265799999999999</v>
      </c>
      <c r="D193" s="44">
        <v>0</v>
      </c>
      <c r="E193" s="44">
        <v>18.3</v>
      </c>
      <c r="F193" s="1">
        <v>1</v>
      </c>
      <c r="G193" s="1">
        <v>16</v>
      </c>
      <c r="H193" s="44">
        <v>0</v>
      </c>
      <c r="I193" s="44">
        <v>9.4499999999999993</v>
      </c>
      <c r="J193" s="44">
        <v>0</v>
      </c>
      <c r="K193" s="44">
        <v>2.15</v>
      </c>
      <c r="L193" s="44">
        <v>0</v>
      </c>
      <c r="M193" s="44">
        <v>0.69485294117647056</v>
      </c>
      <c r="N193" s="44">
        <v>0</v>
      </c>
      <c r="O193" s="44">
        <v>0.15808823529411764</v>
      </c>
      <c r="P193" s="50">
        <v>0</v>
      </c>
      <c r="Q193" s="50">
        <v>5.2470240721604862</v>
      </c>
      <c r="R193" s="50">
        <v>0</v>
      </c>
      <c r="S193" s="50">
        <v>3.784189633918261</v>
      </c>
    </row>
    <row r="194" spans="1:19" x14ac:dyDescent="0.25">
      <c r="A194" s="44">
        <v>2014</v>
      </c>
      <c r="B194" s="44">
        <v>1</v>
      </c>
      <c r="C194" s="6">
        <v>-81.229900000000001</v>
      </c>
      <c r="D194" s="44">
        <v>1</v>
      </c>
      <c r="E194" s="44">
        <v>22</v>
      </c>
      <c r="F194" s="1">
        <v>1</v>
      </c>
      <c r="G194" s="1">
        <v>15</v>
      </c>
      <c r="H194" s="44">
        <v>12.9</v>
      </c>
      <c r="I194" s="44">
        <v>0</v>
      </c>
      <c r="J194" s="44">
        <v>1.1000000000000001</v>
      </c>
      <c r="K194" s="44">
        <v>17.600000000000001</v>
      </c>
      <c r="L194" s="44">
        <v>0.23369565217391305</v>
      </c>
      <c r="M194" s="44">
        <v>0</v>
      </c>
      <c r="N194" s="44">
        <v>1.9927536231884056E-2</v>
      </c>
      <c r="O194" s="44">
        <v>0.3188405797101449</v>
      </c>
      <c r="P194" s="50">
        <v>5.5568280616995374</v>
      </c>
      <c r="Q194" s="50">
        <v>0</v>
      </c>
      <c r="R194" s="50">
        <v>3.1354942159291497</v>
      </c>
      <c r="S194" s="50">
        <v>5.8664680569332965</v>
      </c>
    </row>
    <row r="195" spans="1:19" x14ac:dyDescent="0.25">
      <c r="A195" s="44">
        <v>2014</v>
      </c>
      <c r="B195" s="44">
        <v>0</v>
      </c>
      <c r="C195" s="6">
        <v>-81.45</v>
      </c>
      <c r="D195" s="44">
        <v>1</v>
      </c>
      <c r="E195" s="44">
        <v>24</v>
      </c>
      <c r="F195" s="1">
        <v>0</v>
      </c>
      <c r="G195" s="1">
        <v>12</v>
      </c>
      <c r="H195" s="44">
        <v>1</v>
      </c>
      <c r="I195" s="44">
        <v>0</v>
      </c>
      <c r="J195" s="44">
        <v>4.1500000000000004</v>
      </c>
      <c r="K195" s="44">
        <v>0.8</v>
      </c>
      <c r="L195" s="44">
        <v>0.15384615384615385</v>
      </c>
      <c r="M195" s="44">
        <v>0</v>
      </c>
      <c r="N195" s="44">
        <v>0.63846153846153841</v>
      </c>
      <c r="O195" s="44">
        <v>0.12307692307692308</v>
      </c>
      <c r="P195" s="50">
        <v>3.044522437723423</v>
      </c>
      <c r="Q195" s="50">
        <v>0</v>
      </c>
      <c r="R195" s="50">
        <v>4.4308167988433134</v>
      </c>
      <c r="S195" s="50">
        <v>2.8332133440562162</v>
      </c>
    </row>
    <row r="196" spans="1:19" x14ac:dyDescent="0.25">
      <c r="A196" s="44">
        <v>2014</v>
      </c>
      <c r="B196" s="44">
        <v>0</v>
      </c>
      <c r="C196" s="6">
        <v>-81.437799999999996</v>
      </c>
      <c r="D196" s="44">
        <v>1</v>
      </c>
      <c r="E196" s="44">
        <v>23.9</v>
      </c>
      <c r="F196" s="1">
        <v>1</v>
      </c>
      <c r="G196" s="1">
        <v>16</v>
      </c>
      <c r="H196" s="44">
        <v>6.45</v>
      </c>
      <c r="I196" s="44">
        <v>0.05</v>
      </c>
      <c r="J196" s="44">
        <v>7.25</v>
      </c>
      <c r="K196" s="44">
        <v>2.95</v>
      </c>
      <c r="L196" s="44">
        <v>0.34864864864864864</v>
      </c>
      <c r="M196" s="44">
        <v>2.7027027027027029E-3</v>
      </c>
      <c r="N196" s="44">
        <v>0.39189189189189189</v>
      </c>
      <c r="O196" s="44">
        <v>0.15945945945945947</v>
      </c>
      <c r="P196" s="50">
        <v>4.8675344504555822</v>
      </c>
      <c r="Q196" s="50">
        <v>0.69314718055994529</v>
      </c>
      <c r="R196" s="50">
        <v>4.9836066217083363</v>
      </c>
      <c r="S196" s="50">
        <v>4.0943445622221004</v>
      </c>
    </row>
    <row r="197" spans="1:19" x14ac:dyDescent="0.25">
      <c r="A197" s="44">
        <v>2014</v>
      </c>
      <c r="B197" s="44">
        <v>0</v>
      </c>
      <c r="C197" s="6">
        <v>-81.433800000000005</v>
      </c>
      <c r="D197" s="44">
        <v>1</v>
      </c>
      <c r="E197" s="44">
        <v>24.4</v>
      </c>
      <c r="F197" s="1">
        <v>0</v>
      </c>
      <c r="G197" s="1">
        <v>8</v>
      </c>
      <c r="H197" s="44">
        <v>0.5</v>
      </c>
      <c r="I197" s="44">
        <v>0</v>
      </c>
      <c r="J197" s="44">
        <v>6.35</v>
      </c>
      <c r="K197" s="44">
        <v>1.9</v>
      </c>
      <c r="L197" s="44">
        <v>5.0251256281407038E-2</v>
      </c>
      <c r="M197" s="44">
        <v>0</v>
      </c>
      <c r="N197" s="44">
        <v>0.63819095477386933</v>
      </c>
      <c r="O197" s="44">
        <v>0.19095477386934673</v>
      </c>
      <c r="P197" s="50">
        <v>2.3978952727983707</v>
      </c>
      <c r="Q197" s="50">
        <v>0</v>
      </c>
      <c r="R197" s="50">
        <v>4.8520302639196169</v>
      </c>
      <c r="S197" s="50">
        <v>3.6635616461296463</v>
      </c>
    </row>
    <row r="198" spans="1:19" x14ac:dyDescent="0.25">
      <c r="A198" s="44">
        <v>2014</v>
      </c>
      <c r="B198" s="44">
        <v>0</v>
      </c>
      <c r="C198" s="6">
        <v>-81.482700000000008</v>
      </c>
      <c r="D198" s="44">
        <v>1</v>
      </c>
      <c r="E198" s="44">
        <v>20.2</v>
      </c>
      <c r="F198" s="1">
        <v>0</v>
      </c>
      <c r="G198" s="1">
        <v>10</v>
      </c>
      <c r="H198" s="44">
        <v>2.0499999999999998</v>
      </c>
      <c r="I198" s="44">
        <v>0</v>
      </c>
      <c r="J198" s="44">
        <v>8.75</v>
      </c>
      <c r="K198" s="44">
        <v>12.95</v>
      </c>
      <c r="L198" s="44">
        <v>7.7358490566037733E-2</v>
      </c>
      <c r="M198" s="44">
        <v>0</v>
      </c>
      <c r="N198" s="44">
        <v>0.330188679245283</v>
      </c>
      <c r="O198" s="44">
        <v>0.48867924528301887</v>
      </c>
      <c r="P198" s="50">
        <v>3.7376696182833684</v>
      </c>
      <c r="Q198" s="50">
        <v>0</v>
      </c>
      <c r="R198" s="50">
        <v>5.1704839950381514</v>
      </c>
      <c r="S198" s="50">
        <v>5.5606816310155276</v>
      </c>
    </row>
    <row r="199" spans="1:19" x14ac:dyDescent="0.25">
      <c r="A199" s="44">
        <v>2014</v>
      </c>
      <c r="B199" s="44">
        <v>0</v>
      </c>
      <c r="C199" s="6">
        <v>-81.478800000000007</v>
      </c>
      <c r="D199" s="44">
        <v>1</v>
      </c>
      <c r="E199" s="44">
        <v>21</v>
      </c>
      <c r="F199" s="1">
        <v>0</v>
      </c>
      <c r="G199" s="1">
        <v>14</v>
      </c>
      <c r="H199" s="44">
        <v>1.55</v>
      </c>
      <c r="I199" s="44">
        <v>0.4</v>
      </c>
      <c r="J199" s="44">
        <v>1.05</v>
      </c>
      <c r="K199" s="44">
        <v>2.0499999999999998</v>
      </c>
      <c r="L199" s="44">
        <v>0.26724137931034481</v>
      </c>
      <c r="M199" s="44">
        <v>6.8965517241379309E-2</v>
      </c>
      <c r="N199" s="44">
        <v>0.18103448275862069</v>
      </c>
      <c r="O199" s="44">
        <v>0.35344827586206895</v>
      </c>
      <c r="P199" s="50">
        <v>3.4657359027997265</v>
      </c>
      <c r="Q199" s="50">
        <v>2.1972245773362196</v>
      </c>
      <c r="R199" s="50">
        <v>3.0910424533583161</v>
      </c>
      <c r="S199" s="50">
        <v>3.7376696182833684</v>
      </c>
    </row>
    <row r="200" spans="1:19" x14ac:dyDescent="0.25">
      <c r="A200" s="44">
        <v>2014</v>
      </c>
      <c r="B200" s="44">
        <v>0</v>
      </c>
      <c r="C200" s="6">
        <v>-81.495699999999999</v>
      </c>
      <c r="D200" s="44">
        <v>0</v>
      </c>
      <c r="E200" s="44">
        <v>12.4</v>
      </c>
      <c r="F200" s="1">
        <v>0</v>
      </c>
      <c r="G200" s="1">
        <v>5</v>
      </c>
      <c r="H200" s="44">
        <v>0.75</v>
      </c>
      <c r="I200" s="44">
        <v>0</v>
      </c>
      <c r="J200" s="44">
        <v>2.0499999999999998</v>
      </c>
      <c r="K200" s="44">
        <v>0.1</v>
      </c>
      <c r="L200" s="44">
        <v>0.2</v>
      </c>
      <c r="M200" s="44">
        <v>0</v>
      </c>
      <c r="N200" s="44">
        <v>0.54666666666666663</v>
      </c>
      <c r="O200" s="44">
        <v>2.6666666666666668E-2</v>
      </c>
      <c r="P200" s="50">
        <v>2.7725887222397811</v>
      </c>
      <c r="Q200" s="50">
        <v>0</v>
      </c>
      <c r="R200" s="50">
        <v>3.7376696182833684</v>
      </c>
      <c r="S200" s="50">
        <v>1.0986122886681098</v>
      </c>
    </row>
    <row r="201" spans="1:19" x14ac:dyDescent="0.25">
      <c r="A201" s="44">
        <v>2015</v>
      </c>
      <c r="B201" s="44">
        <v>1</v>
      </c>
      <c r="C201" s="6">
        <v>-80.916666666666671</v>
      </c>
      <c r="D201" s="44">
        <v>1</v>
      </c>
      <c r="E201" s="1">
        <v>21</v>
      </c>
      <c r="F201" s="1">
        <v>1</v>
      </c>
      <c r="G201" s="1">
        <v>19</v>
      </c>
      <c r="H201" s="44">
        <v>0.57692307692307687</v>
      </c>
      <c r="I201" s="44">
        <v>5.8461538461538458</v>
      </c>
      <c r="J201" s="44">
        <v>0</v>
      </c>
      <c r="K201" s="44">
        <v>0</v>
      </c>
      <c r="L201" s="44">
        <v>8.9820359281437126E-2</v>
      </c>
      <c r="M201" s="44">
        <v>0.91017964071856283</v>
      </c>
      <c r="N201" s="44">
        <v>0</v>
      </c>
      <c r="O201" s="44">
        <v>0</v>
      </c>
      <c r="P201" s="50">
        <v>2.7725887222397811</v>
      </c>
      <c r="Q201" s="50">
        <v>5.0304379213924353</v>
      </c>
      <c r="R201" s="50">
        <v>0</v>
      </c>
      <c r="S201" s="50">
        <v>0</v>
      </c>
    </row>
    <row r="202" spans="1:19" x14ac:dyDescent="0.25">
      <c r="A202" s="44">
        <v>2015</v>
      </c>
      <c r="B202" s="44">
        <v>1</v>
      </c>
      <c r="C202" s="6">
        <v>-80.923000000000002</v>
      </c>
      <c r="D202" s="44">
        <v>1</v>
      </c>
      <c r="E202" s="1">
        <v>20.9</v>
      </c>
      <c r="F202" s="21">
        <v>1</v>
      </c>
      <c r="G202" s="21">
        <v>15</v>
      </c>
      <c r="H202" s="44">
        <v>1.1499999999999999</v>
      </c>
      <c r="I202" s="44">
        <v>3.55</v>
      </c>
      <c r="J202" s="44">
        <v>0</v>
      </c>
      <c r="K202" s="44">
        <v>0</v>
      </c>
      <c r="L202" s="44">
        <v>0.24468085106382978</v>
      </c>
      <c r="M202" s="44">
        <v>0.75531914893617025</v>
      </c>
      <c r="N202" s="44">
        <v>0</v>
      </c>
      <c r="O202" s="44">
        <v>0</v>
      </c>
      <c r="P202" s="50">
        <v>3.1780538303479458</v>
      </c>
      <c r="Q202" s="50">
        <v>4.2766661190160553</v>
      </c>
      <c r="R202" s="50">
        <v>0</v>
      </c>
      <c r="S202" s="50">
        <v>0</v>
      </c>
    </row>
    <row r="203" spans="1:19" x14ac:dyDescent="0.25">
      <c r="A203" s="44">
        <v>2015</v>
      </c>
      <c r="B203" s="44">
        <v>1</v>
      </c>
      <c r="C203" s="6">
        <v>-80.922333333333327</v>
      </c>
      <c r="D203" s="44">
        <v>1</v>
      </c>
      <c r="E203" s="1">
        <v>20.9</v>
      </c>
      <c r="F203" s="1">
        <v>0</v>
      </c>
      <c r="G203" s="1">
        <v>8</v>
      </c>
      <c r="H203" s="44">
        <v>3.2</v>
      </c>
      <c r="I203" s="44">
        <v>0.15</v>
      </c>
      <c r="J203" s="44">
        <v>0</v>
      </c>
      <c r="K203" s="44">
        <v>0</v>
      </c>
      <c r="L203" s="44">
        <v>0.95522388059701491</v>
      </c>
      <c r="M203" s="44">
        <v>4.4776119402985072E-2</v>
      </c>
      <c r="N203" s="44">
        <v>0</v>
      </c>
      <c r="O203" s="44">
        <v>0</v>
      </c>
      <c r="P203" s="50">
        <v>4.1743872698956368</v>
      </c>
      <c r="Q203" s="50">
        <v>1.3862943611198906</v>
      </c>
      <c r="R203" s="50">
        <v>0</v>
      </c>
      <c r="S203" s="50">
        <v>0</v>
      </c>
    </row>
    <row r="204" spans="1:19" x14ac:dyDescent="0.25">
      <c r="A204" s="44">
        <v>2015</v>
      </c>
      <c r="B204" s="44">
        <v>1</v>
      </c>
      <c r="C204" s="6">
        <v>-80.917166666666674</v>
      </c>
      <c r="D204" s="44">
        <v>1</v>
      </c>
      <c r="E204" s="1">
        <v>20.7</v>
      </c>
      <c r="F204" s="1">
        <v>1</v>
      </c>
      <c r="G204" s="1">
        <v>19</v>
      </c>
      <c r="H204" s="44">
        <v>0.45</v>
      </c>
      <c r="I204" s="44">
        <v>2.5</v>
      </c>
      <c r="J204" s="44">
        <v>0</v>
      </c>
      <c r="K204" s="44">
        <v>0</v>
      </c>
      <c r="L204" s="44">
        <v>0.14754098360655737</v>
      </c>
      <c r="M204" s="44">
        <v>0.81967213114754101</v>
      </c>
      <c r="N204" s="44">
        <v>0</v>
      </c>
      <c r="O204" s="44">
        <v>0</v>
      </c>
      <c r="P204" s="50">
        <v>2.3025850929940459</v>
      </c>
      <c r="Q204" s="50">
        <v>3.9318256327243257</v>
      </c>
      <c r="R204" s="50">
        <v>0</v>
      </c>
      <c r="S204" s="50">
        <v>0</v>
      </c>
    </row>
    <row r="205" spans="1:19" x14ac:dyDescent="0.25">
      <c r="A205" s="44">
        <v>2015</v>
      </c>
      <c r="B205" s="44">
        <v>1</v>
      </c>
      <c r="C205" s="6">
        <v>-80.980999999999995</v>
      </c>
      <c r="D205" s="44">
        <v>0</v>
      </c>
      <c r="E205" s="1">
        <v>18.100000000000001</v>
      </c>
      <c r="F205" s="1">
        <v>1</v>
      </c>
      <c r="G205" s="1">
        <v>16</v>
      </c>
      <c r="H205" s="44">
        <v>28.85</v>
      </c>
      <c r="I205" s="44">
        <v>0.2</v>
      </c>
      <c r="J205" s="44">
        <v>0</v>
      </c>
      <c r="K205" s="44">
        <v>0.05</v>
      </c>
      <c r="L205" s="44">
        <v>0.98970840480274447</v>
      </c>
      <c r="M205" s="44">
        <v>6.8610634648370496E-3</v>
      </c>
      <c r="N205" s="44">
        <v>0</v>
      </c>
      <c r="O205" s="44">
        <v>1.7152658662092624E-3</v>
      </c>
      <c r="P205" s="50">
        <v>6.3595738686723777</v>
      </c>
      <c r="Q205" s="50">
        <v>1.6094379124341003</v>
      </c>
      <c r="R205" s="50">
        <v>0</v>
      </c>
      <c r="S205" s="50">
        <v>0.69314718055994529</v>
      </c>
    </row>
    <row r="206" spans="1:19" x14ac:dyDescent="0.25">
      <c r="A206" s="44">
        <v>2015</v>
      </c>
      <c r="B206" s="44">
        <v>1</v>
      </c>
      <c r="C206" s="6">
        <v>-80.989333333333335</v>
      </c>
      <c r="D206" s="44">
        <v>0</v>
      </c>
      <c r="E206" s="1">
        <v>18.100000000000001</v>
      </c>
      <c r="F206" s="1">
        <v>0</v>
      </c>
      <c r="G206" s="1">
        <v>13</v>
      </c>
      <c r="H206" s="44">
        <v>21.1</v>
      </c>
      <c r="I206" s="44">
        <v>0.1</v>
      </c>
      <c r="J206" s="44">
        <v>0</v>
      </c>
      <c r="K206" s="44">
        <v>0</v>
      </c>
      <c r="L206" s="44">
        <v>0.99528301886792447</v>
      </c>
      <c r="M206" s="44">
        <v>4.7169811320754715E-3</v>
      </c>
      <c r="N206" s="44">
        <v>0</v>
      </c>
      <c r="O206" s="44">
        <v>0</v>
      </c>
      <c r="P206" s="50">
        <v>6.0473721790462776</v>
      </c>
      <c r="Q206" s="50">
        <v>1.0986122886681098</v>
      </c>
      <c r="R206" s="50">
        <v>0</v>
      </c>
      <c r="S206" s="50">
        <v>0</v>
      </c>
    </row>
    <row r="207" spans="1:19" x14ac:dyDescent="0.25">
      <c r="A207" s="44">
        <v>2015</v>
      </c>
      <c r="B207" s="44">
        <v>1</v>
      </c>
      <c r="C207" s="6">
        <v>-80.984999999999999</v>
      </c>
      <c r="D207" s="44">
        <v>0</v>
      </c>
      <c r="E207" s="1">
        <v>18.100000000000001</v>
      </c>
      <c r="F207" s="1">
        <v>0</v>
      </c>
      <c r="G207" s="1">
        <v>10</v>
      </c>
      <c r="H207" s="44">
        <v>34.049999999999997</v>
      </c>
      <c r="I207" s="44">
        <v>0.1</v>
      </c>
      <c r="J207" s="44">
        <v>0</v>
      </c>
      <c r="K207" s="44">
        <v>0</v>
      </c>
      <c r="L207" s="44">
        <v>0.99416058394160589</v>
      </c>
      <c r="M207" s="44">
        <v>2.9197080291970801E-3</v>
      </c>
      <c r="N207" s="44">
        <v>0</v>
      </c>
      <c r="O207" s="44">
        <v>0</v>
      </c>
      <c r="P207" s="50">
        <v>6.5250296578434623</v>
      </c>
      <c r="Q207" s="50">
        <v>1.0986122886681098</v>
      </c>
      <c r="R207" s="50">
        <v>0</v>
      </c>
      <c r="S207" s="50">
        <v>0</v>
      </c>
    </row>
    <row r="208" spans="1:19" x14ac:dyDescent="0.25">
      <c r="A208" s="44">
        <v>2015</v>
      </c>
      <c r="B208" s="44">
        <v>1</v>
      </c>
      <c r="C208" s="6">
        <v>-81.00366666666666</v>
      </c>
      <c r="D208" s="44">
        <v>0</v>
      </c>
      <c r="E208" s="1">
        <v>14</v>
      </c>
      <c r="F208" s="1">
        <v>0</v>
      </c>
      <c r="G208" s="1">
        <v>8</v>
      </c>
      <c r="H208" s="44">
        <v>24.75</v>
      </c>
      <c r="I208" s="44">
        <v>0.85</v>
      </c>
      <c r="J208" s="44">
        <v>0.05</v>
      </c>
      <c r="K208" s="44">
        <v>0.05</v>
      </c>
      <c r="L208" s="44">
        <v>0.95744680851063835</v>
      </c>
      <c r="M208" s="44">
        <v>3.2882011605415859E-2</v>
      </c>
      <c r="N208" s="44">
        <v>1.9342359767891683E-3</v>
      </c>
      <c r="O208" s="44">
        <v>1.9342359767891683E-3</v>
      </c>
      <c r="P208" s="50">
        <v>6.2065759267249279</v>
      </c>
      <c r="Q208" s="50">
        <v>2.8903717578961645</v>
      </c>
      <c r="R208" s="50">
        <v>0.69314718055994529</v>
      </c>
      <c r="S208" s="50">
        <v>0.69314718055994529</v>
      </c>
    </row>
    <row r="209" spans="1:19" x14ac:dyDescent="0.25">
      <c r="A209" s="44">
        <v>2015</v>
      </c>
      <c r="B209" s="44">
        <v>1</v>
      </c>
      <c r="C209" s="6">
        <v>-81.003833333333333</v>
      </c>
      <c r="D209" s="44">
        <v>0</v>
      </c>
      <c r="E209" s="1">
        <v>13.9</v>
      </c>
      <c r="F209" s="21">
        <v>0</v>
      </c>
      <c r="G209" s="21">
        <v>7</v>
      </c>
      <c r="H209" s="44">
        <v>13.05</v>
      </c>
      <c r="I209" s="44">
        <v>35.25</v>
      </c>
      <c r="J209" s="44">
        <v>0</v>
      </c>
      <c r="K209" s="44">
        <v>0</v>
      </c>
      <c r="L209" s="44">
        <v>0.26990692864529475</v>
      </c>
      <c r="M209" s="44">
        <v>0.72905894519131331</v>
      </c>
      <c r="N209" s="44">
        <v>0</v>
      </c>
      <c r="O209" s="44">
        <v>0</v>
      </c>
      <c r="P209" s="50">
        <v>5.5683445037610966</v>
      </c>
      <c r="Q209" s="50">
        <v>6.5596152374932419</v>
      </c>
      <c r="R209" s="50">
        <v>0</v>
      </c>
      <c r="S209" s="50">
        <v>0</v>
      </c>
    </row>
    <row r="210" spans="1:19" x14ac:dyDescent="0.25">
      <c r="A210" s="44">
        <v>2015</v>
      </c>
      <c r="B210" s="44">
        <v>1</v>
      </c>
      <c r="C210" s="6">
        <v>-81.371499999999997</v>
      </c>
      <c r="D210" s="44">
        <v>1</v>
      </c>
      <c r="E210" s="1">
        <v>22.5</v>
      </c>
      <c r="F210" s="1">
        <v>1</v>
      </c>
      <c r="G210" s="1">
        <v>20</v>
      </c>
      <c r="H210" s="44">
        <v>11.3</v>
      </c>
      <c r="I210" s="44">
        <v>8</v>
      </c>
      <c r="J210" s="44">
        <v>0</v>
      </c>
      <c r="K210" s="44">
        <v>0</v>
      </c>
      <c r="L210" s="44">
        <v>0.58549222797927458</v>
      </c>
      <c r="M210" s="44">
        <v>0.41450777202072536</v>
      </c>
      <c r="N210" s="44">
        <v>0</v>
      </c>
      <c r="O210" s="44">
        <v>0</v>
      </c>
      <c r="P210" s="50">
        <v>5.4249500174814029</v>
      </c>
      <c r="Q210" s="50">
        <v>5.0814043649844631</v>
      </c>
      <c r="R210" s="50">
        <v>0</v>
      </c>
      <c r="S210" s="50">
        <v>0</v>
      </c>
    </row>
    <row r="211" spans="1:19" x14ac:dyDescent="0.25">
      <c r="A211" s="44">
        <v>2015</v>
      </c>
      <c r="B211" s="44">
        <v>1</v>
      </c>
      <c r="C211" s="6">
        <v>-81.379333333333335</v>
      </c>
      <c r="D211" s="44">
        <v>1</v>
      </c>
      <c r="E211" s="1">
        <v>22.4</v>
      </c>
      <c r="F211" s="1">
        <v>1</v>
      </c>
      <c r="G211" s="1">
        <v>16</v>
      </c>
      <c r="H211" s="44">
        <v>7.35</v>
      </c>
      <c r="I211" s="44">
        <v>9.4499999999999993</v>
      </c>
      <c r="J211" s="44">
        <v>0</v>
      </c>
      <c r="K211" s="44">
        <v>0</v>
      </c>
      <c r="L211" s="44">
        <v>0.43620178041543028</v>
      </c>
      <c r="M211" s="44">
        <v>0.56083086053412468</v>
      </c>
      <c r="N211" s="44">
        <v>0</v>
      </c>
      <c r="O211" s="44">
        <v>0</v>
      </c>
      <c r="P211" s="50">
        <v>4.9972122737641147</v>
      </c>
      <c r="Q211" s="50">
        <v>5.2470240721604862</v>
      </c>
      <c r="R211" s="50">
        <v>0</v>
      </c>
      <c r="S211" s="50">
        <v>0</v>
      </c>
    </row>
    <row r="212" spans="1:19" x14ac:dyDescent="0.25">
      <c r="A212" s="44">
        <v>2015</v>
      </c>
      <c r="B212" s="44">
        <v>1</v>
      </c>
      <c r="C212" s="6">
        <v>-81.372500000000002</v>
      </c>
      <c r="D212" s="44">
        <v>1</v>
      </c>
      <c r="E212" s="1">
        <v>22.3</v>
      </c>
      <c r="F212" s="1">
        <v>0</v>
      </c>
      <c r="G212" s="1">
        <v>8</v>
      </c>
      <c r="H212" s="44">
        <v>7.95</v>
      </c>
      <c r="I212" s="44">
        <v>0</v>
      </c>
      <c r="J212" s="44">
        <v>0</v>
      </c>
      <c r="K212" s="44">
        <v>0</v>
      </c>
      <c r="L212" s="44">
        <v>0.99375000000000002</v>
      </c>
      <c r="M212" s="44">
        <v>0</v>
      </c>
      <c r="N212" s="44">
        <v>0</v>
      </c>
      <c r="O212" s="44">
        <v>0</v>
      </c>
      <c r="P212" s="50">
        <v>5.0751738152338266</v>
      </c>
      <c r="Q212" s="50">
        <v>0</v>
      </c>
      <c r="R212" s="50">
        <v>0</v>
      </c>
      <c r="S212" s="50">
        <v>0</v>
      </c>
    </row>
    <row r="213" spans="1:19" x14ac:dyDescent="0.25">
      <c r="A213" s="44">
        <v>2015</v>
      </c>
      <c r="B213" s="44">
        <v>1</v>
      </c>
      <c r="C213" s="6">
        <v>-81.37233333333333</v>
      </c>
      <c r="D213" s="44">
        <v>1</v>
      </c>
      <c r="E213" s="1">
        <v>22.4</v>
      </c>
      <c r="F213" s="1">
        <v>1</v>
      </c>
      <c r="G213" s="1">
        <v>19</v>
      </c>
      <c r="H213" s="44">
        <v>0.85</v>
      </c>
      <c r="I213" s="44">
        <v>21.05</v>
      </c>
      <c r="J213" s="44">
        <v>0</v>
      </c>
      <c r="K213" s="44">
        <v>0</v>
      </c>
      <c r="L213" s="44">
        <v>3.8812785388127852E-2</v>
      </c>
      <c r="M213" s="44">
        <v>0.96118721461187218</v>
      </c>
      <c r="N213" s="44">
        <v>0</v>
      </c>
      <c r="O213" s="44">
        <v>0</v>
      </c>
      <c r="P213" s="50">
        <v>2.8903717578961645</v>
      </c>
      <c r="Q213" s="50">
        <v>6.045005314036012</v>
      </c>
      <c r="R213" s="50">
        <v>0</v>
      </c>
      <c r="S213" s="50">
        <v>0</v>
      </c>
    </row>
    <row r="214" spans="1:19" x14ac:dyDescent="0.25">
      <c r="A214" s="44">
        <v>2015</v>
      </c>
      <c r="B214" s="44">
        <v>1</v>
      </c>
      <c r="C214" s="6">
        <v>-81.444166666666661</v>
      </c>
      <c r="D214" s="44">
        <v>0</v>
      </c>
      <c r="E214" s="1">
        <v>19.399999999999999</v>
      </c>
      <c r="F214" s="1">
        <v>1</v>
      </c>
      <c r="G214" s="1">
        <v>17</v>
      </c>
      <c r="H214" s="44">
        <v>7.75</v>
      </c>
      <c r="I214" s="44">
        <v>4.8</v>
      </c>
      <c r="J214" s="44">
        <v>0</v>
      </c>
      <c r="K214" s="44">
        <v>0</v>
      </c>
      <c r="L214" s="44">
        <v>0.59160305343511455</v>
      </c>
      <c r="M214" s="44">
        <v>0.36641221374045801</v>
      </c>
      <c r="N214" s="44">
        <v>0</v>
      </c>
      <c r="O214" s="44">
        <v>0</v>
      </c>
      <c r="P214" s="50">
        <v>5.0498560072495371</v>
      </c>
      <c r="Q214" s="50">
        <v>4.5747109785033828</v>
      </c>
      <c r="R214" s="50">
        <v>0</v>
      </c>
      <c r="S214" s="50">
        <v>0</v>
      </c>
    </row>
    <row r="215" spans="1:19" x14ac:dyDescent="0.25">
      <c r="A215" s="44">
        <v>2015</v>
      </c>
      <c r="B215" s="44">
        <v>1</v>
      </c>
      <c r="C215" s="6">
        <v>-81.436666666666667</v>
      </c>
      <c r="D215" s="44">
        <v>0</v>
      </c>
      <c r="E215" s="1">
        <v>19.399999999999999</v>
      </c>
      <c r="F215" s="1">
        <v>0</v>
      </c>
      <c r="G215" s="1">
        <v>12</v>
      </c>
      <c r="H215" s="44">
        <v>7.8</v>
      </c>
      <c r="I215" s="44">
        <v>0.2</v>
      </c>
      <c r="J215" s="44">
        <v>0</v>
      </c>
      <c r="K215" s="44">
        <v>0</v>
      </c>
      <c r="L215" s="44">
        <v>0.95705521472392641</v>
      </c>
      <c r="M215" s="44">
        <v>2.4539877300613498E-2</v>
      </c>
      <c r="N215" s="44">
        <v>0</v>
      </c>
      <c r="O215" s="44">
        <v>0</v>
      </c>
      <c r="P215" s="50">
        <v>5.0562458053483077</v>
      </c>
      <c r="Q215" s="50">
        <v>1.6094379124341003</v>
      </c>
      <c r="R215" s="50">
        <v>0</v>
      </c>
      <c r="S215" s="50">
        <v>0</v>
      </c>
    </row>
    <row r="216" spans="1:19" x14ac:dyDescent="0.25">
      <c r="A216" s="44">
        <v>2015</v>
      </c>
      <c r="B216" s="44">
        <v>1</v>
      </c>
      <c r="C216" s="6">
        <v>-81.441000000000003</v>
      </c>
      <c r="D216" s="44">
        <v>0</v>
      </c>
      <c r="E216" s="1">
        <v>19.3</v>
      </c>
      <c r="F216" s="1">
        <v>0</v>
      </c>
      <c r="G216" s="1">
        <v>8</v>
      </c>
      <c r="H216" s="44">
        <v>25.15</v>
      </c>
      <c r="I216" s="44">
        <v>0</v>
      </c>
      <c r="J216" s="44">
        <v>0</v>
      </c>
      <c r="K216" s="44">
        <v>0</v>
      </c>
      <c r="L216" s="44">
        <v>0.99407114624505932</v>
      </c>
      <c r="M216" s="44">
        <v>0</v>
      </c>
      <c r="N216" s="44">
        <v>0</v>
      </c>
      <c r="O216" s="44">
        <v>0</v>
      </c>
      <c r="P216" s="50">
        <v>6.2225762680713688</v>
      </c>
      <c r="Q216" s="50">
        <v>0</v>
      </c>
      <c r="R216" s="50">
        <v>0</v>
      </c>
      <c r="S216" s="50">
        <v>0</v>
      </c>
    </row>
    <row r="217" spans="1:19" x14ac:dyDescent="0.25">
      <c r="A217" s="44">
        <v>2015</v>
      </c>
      <c r="B217" s="44">
        <v>1</v>
      </c>
      <c r="C217" s="6">
        <v>-81.474666666666664</v>
      </c>
      <c r="D217" s="44">
        <v>0</v>
      </c>
      <c r="E217" s="1">
        <v>11.3</v>
      </c>
      <c r="F217" s="1">
        <v>0</v>
      </c>
      <c r="G217" s="1">
        <v>10</v>
      </c>
      <c r="H217" s="44">
        <v>33.6</v>
      </c>
      <c r="I217" s="44">
        <v>40.700000000000003</v>
      </c>
      <c r="J217" s="44">
        <v>0.15</v>
      </c>
      <c r="K217" s="44">
        <v>0</v>
      </c>
      <c r="L217" s="44">
        <v>0.45040214477211798</v>
      </c>
      <c r="M217" s="44">
        <v>0.54557640750670244</v>
      </c>
      <c r="N217" s="44">
        <v>2.0107238605898124E-3</v>
      </c>
      <c r="O217" s="44">
        <v>0</v>
      </c>
      <c r="P217" s="50">
        <v>6.5117453296447279</v>
      </c>
      <c r="Q217" s="50">
        <v>6.7031881132408628</v>
      </c>
      <c r="R217" s="50">
        <v>1.3862943611198906</v>
      </c>
      <c r="S217" s="50">
        <v>0</v>
      </c>
    </row>
    <row r="218" spans="1:19" x14ac:dyDescent="0.25">
      <c r="A218" s="44">
        <v>2015</v>
      </c>
      <c r="B218" s="44">
        <v>1</v>
      </c>
      <c r="C218" s="6">
        <v>-81.471166666666662</v>
      </c>
      <c r="D218" s="44">
        <v>0</v>
      </c>
      <c r="E218" s="1">
        <v>11.9</v>
      </c>
      <c r="F218" s="1">
        <v>0</v>
      </c>
      <c r="G218" s="1">
        <v>7</v>
      </c>
      <c r="H218" s="44">
        <v>5.9</v>
      </c>
      <c r="I218" s="44">
        <v>2.15</v>
      </c>
      <c r="J218" s="44">
        <v>0.15</v>
      </c>
      <c r="K218" s="44">
        <v>0.05</v>
      </c>
      <c r="L218" s="44">
        <v>0.70238095238095233</v>
      </c>
      <c r="M218" s="44">
        <v>0.25595238095238093</v>
      </c>
      <c r="N218" s="44">
        <v>1.7857142857142856E-2</v>
      </c>
      <c r="O218" s="44">
        <v>5.9523809523809521E-3</v>
      </c>
      <c r="P218" s="50">
        <v>4.7791234931115296</v>
      </c>
      <c r="Q218" s="50">
        <v>3.784189633918261</v>
      </c>
      <c r="R218" s="50">
        <v>1.3862943611198906</v>
      </c>
      <c r="S218" s="50">
        <v>0.69314718055994529</v>
      </c>
    </row>
    <row r="219" spans="1:19" x14ac:dyDescent="0.25">
      <c r="A219" s="44">
        <v>2015</v>
      </c>
      <c r="B219" s="44">
        <v>0</v>
      </c>
      <c r="C219" s="6">
        <v>-81.74433333333333</v>
      </c>
      <c r="D219" s="44">
        <v>1</v>
      </c>
      <c r="E219" s="1">
        <v>24.2</v>
      </c>
      <c r="F219" s="1">
        <v>1</v>
      </c>
      <c r="G219" s="1">
        <v>22</v>
      </c>
      <c r="H219" s="44">
        <v>1.2</v>
      </c>
      <c r="I219" s="44">
        <v>25.05</v>
      </c>
      <c r="J219" s="44">
        <v>0</v>
      </c>
      <c r="K219" s="44">
        <v>0</v>
      </c>
      <c r="L219" s="44">
        <v>4.5540796963946868E-2</v>
      </c>
      <c r="M219" s="44">
        <v>0.95066413662239091</v>
      </c>
      <c r="N219" s="44">
        <v>0</v>
      </c>
      <c r="O219" s="44">
        <v>0</v>
      </c>
      <c r="P219" s="50">
        <v>3.2188758248682006</v>
      </c>
      <c r="Q219" s="50">
        <v>6.2186001196917289</v>
      </c>
      <c r="R219" s="50">
        <v>0</v>
      </c>
      <c r="S219" s="50">
        <v>0</v>
      </c>
    </row>
    <row r="220" spans="1:19" x14ac:dyDescent="0.25">
      <c r="A220" s="44">
        <v>2015</v>
      </c>
      <c r="B220" s="44">
        <v>0</v>
      </c>
      <c r="C220" s="6">
        <v>-81.74166666666666</v>
      </c>
      <c r="D220" s="44">
        <v>1</v>
      </c>
      <c r="E220" s="1">
        <v>24.4</v>
      </c>
      <c r="F220" s="1">
        <v>1</v>
      </c>
      <c r="G220" s="1">
        <v>17</v>
      </c>
      <c r="H220" s="44">
        <v>0.75</v>
      </c>
      <c r="I220" s="44">
        <v>30</v>
      </c>
      <c r="J220" s="44">
        <v>0</v>
      </c>
      <c r="K220" s="44">
        <v>0</v>
      </c>
      <c r="L220" s="44">
        <v>2.4390243902439025E-2</v>
      </c>
      <c r="M220" s="44">
        <v>0.97560975609756095</v>
      </c>
      <c r="N220" s="44">
        <v>0</v>
      </c>
      <c r="O220" s="44">
        <v>0</v>
      </c>
      <c r="P220" s="50">
        <v>2.7725887222397811</v>
      </c>
      <c r="Q220" s="50">
        <v>6.3985949345352076</v>
      </c>
      <c r="R220" s="50">
        <v>0</v>
      </c>
      <c r="S220" s="50">
        <v>0</v>
      </c>
    </row>
    <row r="221" spans="1:19" x14ac:dyDescent="0.25">
      <c r="A221" s="44">
        <v>2015</v>
      </c>
      <c r="B221" s="44">
        <v>0</v>
      </c>
      <c r="C221" s="6">
        <v>-81.746499999999997</v>
      </c>
      <c r="D221" s="44">
        <v>1</v>
      </c>
      <c r="E221" s="1">
        <v>24.2</v>
      </c>
      <c r="F221" s="1">
        <v>0</v>
      </c>
      <c r="G221" s="1">
        <v>13</v>
      </c>
      <c r="H221" s="44">
        <v>0.8</v>
      </c>
      <c r="I221" s="44">
        <v>14.35</v>
      </c>
      <c r="J221" s="44">
        <v>0</v>
      </c>
      <c r="K221" s="44">
        <v>0.05</v>
      </c>
      <c r="L221" s="44">
        <v>5.2631578947368418E-2</v>
      </c>
      <c r="M221" s="44">
        <v>0.94407894736842102</v>
      </c>
      <c r="N221" s="44">
        <v>0</v>
      </c>
      <c r="O221" s="44">
        <v>3.2894736842105261E-3</v>
      </c>
      <c r="P221" s="50">
        <v>2.8332133440562162</v>
      </c>
      <c r="Q221" s="50">
        <v>5.6629604801359461</v>
      </c>
      <c r="R221" s="50">
        <v>0</v>
      </c>
      <c r="S221" s="50">
        <v>0.69314718055994529</v>
      </c>
    </row>
    <row r="222" spans="1:19" x14ac:dyDescent="0.25">
      <c r="A222" s="44">
        <v>2015</v>
      </c>
      <c r="B222" s="44">
        <v>0</v>
      </c>
      <c r="C222" s="6">
        <v>-81.729666666666674</v>
      </c>
      <c r="D222" s="44">
        <v>1</v>
      </c>
      <c r="E222" s="1">
        <v>24.2</v>
      </c>
      <c r="F222" s="1">
        <v>0</v>
      </c>
      <c r="G222" s="1">
        <v>8</v>
      </c>
      <c r="H222" s="44">
        <v>8.1999999999999993</v>
      </c>
      <c r="I222" s="44">
        <v>0.15</v>
      </c>
      <c r="J222" s="44">
        <v>0</v>
      </c>
      <c r="K222" s="44">
        <v>0.1</v>
      </c>
      <c r="L222" s="44">
        <v>0.96470588235294119</v>
      </c>
      <c r="M222" s="44">
        <v>1.7647058823529412E-2</v>
      </c>
      <c r="N222" s="44">
        <v>0</v>
      </c>
      <c r="O222" s="44">
        <v>1.1764705882352941E-2</v>
      </c>
      <c r="P222" s="50">
        <v>5.1059454739005803</v>
      </c>
      <c r="Q222" s="50">
        <v>1.3862943611198906</v>
      </c>
      <c r="R222" s="50">
        <v>0</v>
      </c>
      <c r="S222" s="50">
        <v>1.0986122886681098</v>
      </c>
    </row>
    <row r="223" spans="1:19" x14ac:dyDescent="0.25">
      <c r="A223" s="44">
        <v>2015</v>
      </c>
      <c r="B223" s="44">
        <v>0</v>
      </c>
      <c r="C223" s="6">
        <v>-81.80683333333333</v>
      </c>
      <c r="D223" s="44">
        <v>1</v>
      </c>
      <c r="E223" s="1">
        <v>20.5</v>
      </c>
      <c r="F223" s="1">
        <v>1</v>
      </c>
      <c r="G223" s="1">
        <v>18</v>
      </c>
      <c r="H223" s="44">
        <v>30.65</v>
      </c>
      <c r="I223" s="44">
        <v>0.55000000000000004</v>
      </c>
      <c r="J223" s="44">
        <v>0</v>
      </c>
      <c r="K223" s="44">
        <v>0</v>
      </c>
      <c r="L223" s="44">
        <v>0.96383647798742134</v>
      </c>
      <c r="M223" s="44">
        <v>1.7295597484276729E-2</v>
      </c>
      <c r="N223" s="44">
        <v>0</v>
      </c>
      <c r="O223" s="44">
        <v>0</v>
      </c>
      <c r="P223" s="50">
        <v>6.4199949281471422</v>
      </c>
      <c r="Q223" s="50">
        <v>2.4849066497880004</v>
      </c>
      <c r="R223" s="50">
        <v>0</v>
      </c>
      <c r="S223" s="50">
        <v>0</v>
      </c>
    </row>
    <row r="224" spans="1:19" x14ac:dyDescent="0.25">
      <c r="A224" s="44">
        <v>2015</v>
      </c>
      <c r="B224" s="44">
        <v>0</v>
      </c>
      <c r="C224" s="6">
        <v>-81.802666666666667</v>
      </c>
      <c r="D224" s="44">
        <v>1</v>
      </c>
      <c r="E224" s="1">
        <v>20.7</v>
      </c>
      <c r="F224" s="1">
        <v>1</v>
      </c>
      <c r="G224" s="1">
        <v>15</v>
      </c>
      <c r="H224" s="44">
        <v>26.7</v>
      </c>
      <c r="I224" s="44">
        <v>0.15</v>
      </c>
      <c r="J224" s="44">
        <v>0.05</v>
      </c>
      <c r="K224" s="44">
        <v>0.15</v>
      </c>
      <c r="L224" s="44">
        <v>0.98342541436464093</v>
      </c>
      <c r="M224" s="44">
        <v>5.5248618784530384E-3</v>
      </c>
      <c r="N224" s="44">
        <v>1.841620626151013E-3</v>
      </c>
      <c r="O224" s="44">
        <v>5.5248618784530384E-3</v>
      </c>
      <c r="P224" s="50">
        <v>6.2822667468960063</v>
      </c>
      <c r="Q224" s="50">
        <v>1.3862943611198906</v>
      </c>
      <c r="R224" s="50">
        <v>0.69314718055994529</v>
      </c>
      <c r="S224" s="50">
        <v>1.3862943611198906</v>
      </c>
    </row>
    <row r="225" spans="1:19" x14ac:dyDescent="0.25">
      <c r="A225" s="44">
        <v>2015</v>
      </c>
      <c r="B225" s="44">
        <v>0</v>
      </c>
      <c r="C225" s="6">
        <v>-81.802833333333339</v>
      </c>
      <c r="D225" s="44">
        <v>1</v>
      </c>
      <c r="E225" s="1">
        <v>20.5</v>
      </c>
      <c r="F225" s="1">
        <v>0</v>
      </c>
      <c r="G225" s="1">
        <v>6</v>
      </c>
      <c r="H225" s="44">
        <v>9.5833333333333339</v>
      </c>
      <c r="I225" s="44">
        <v>0</v>
      </c>
      <c r="J225" s="44">
        <v>4.1666666666666664E-2</v>
      </c>
      <c r="K225" s="44">
        <v>0</v>
      </c>
      <c r="L225" s="44">
        <v>0.99137931034482762</v>
      </c>
      <c r="M225" s="44">
        <v>0</v>
      </c>
      <c r="N225" s="44">
        <v>4.3103448275862068E-3</v>
      </c>
      <c r="O225" s="44">
        <v>0</v>
      </c>
      <c r="P225" s="50">
        <v>5.4424177105217932</v>
      </c>
      <c r="Q225" s="50">
        <v>0</v>
      </c>
      <c r="R225" s="50">
        <v>0.69314718055994529</v>
      </c>
      <c r="S225" s="50">
        <v>0</v>
      </c>
    </row>
    <row r="226" spans="1:19" x14ac:dyDescent="0.25">
      <c r="A226" s="44">
        <v>2015</v>
      </c>
      <c r="B226" s="44">
        <v>0</v>
      </c>
      <c r="C226" s="6">
        <v>-81.828666666666663</v>
      </c>
      <c r="D226" s="44">
        <v>0</v>
      </c>
      <c r="E226" s="1">
        <v>10.9</v>
      </c>
      <c r="F226" s="1">
        <v>0</v>
      </c>
      <c r="G226" s="1">
        <v>8</v>
      </c>
      <c r="H226" s="44">
        <v>24.25</v>
      </c>
      <c r="I226" s="44">
        <v>2.9</v>
      </c>
      <c r="J226" s="44">
        <v>14.95</v>
      </c>
      <c r="K226" s="44">
        <v>0.3</v>
      </c>
      <c r="L226" s="44">
        <v>0.5679156908665105</v>
      </c>
      <c r="M226" s="44">
        <v>6.7915690866510545E-2</v>
      </c>
      <c r="N226" s="44">
        <v>0.35011709601873536</v>
      </c>
      <c r="O226" s="44">
        <v>7.0257611241217799E-3</v>
      </c>
      <c r="P226" s="50">
        <v>6.1862086239004936</v>
      </c>
      <c r="Q226" s="50">
        <v>4.0775374439057197</v>
      </c>
      <c r="R226" s="50">
        <v>5.7037824746562009</v>
      </c>
      <c r="S226" s="50">
        <v>1.9459101490553132</v>
      </c>
    </row>
    <row r="227" spans="1:19" x14ac:dyDescent="0.25">
      <c r="A227" s="44">
        <v>2015</v>
      </c>
      <c r="B227" s="44">
        <v>0</v>
      </c>
      <c r="C227" s="6">
        <v>-81.815666666666672</v>
      </c>
      <c r="D227" s="44">
        <v>0</v>
      </c>
      <c r="E227" s="1">
        <v>13.9</v>
      </c>
      <c r="F227" s="1">
        <v>0</v>
      </c>
      <c r="G227" s="1">
        <v>6</v>
      </c>
      <c r="H227" s="44">
        <v>14.45</v>
      </c>
      <c r="I227" s="44">
        <v>1.25</v>
      </c>
      <c r="J227" s="44">
        <v>4.8499999999999996</v>
      </c>
      <c r="K227" s="44">
        <v>0.2</v>
      </c>
      <c r="L227" s="44">
        <v>0.69304556354916069</v>
      </c>
      <c r="M227" s="44">
        <v>5.9952038369304558E-2</v>
      </c>
      <c r="N227" s="44">
        <v>0.23261390887290168</v>
      </c>
      <c r="O227" s="44">
        <v>9.5923261390887284E-3</v>
      </c>
      <c r="P227" s="50">
        <v>5.6698809229805196</v>
      </c>
      <c r="Q227" s="50">
        <v>3.2580965380214821</v>
      </c>
      <c r="R227" s="50">
        <v>4.5849674786705723</v>
      </c>
      <c r="S227" s="50">
        <v>1.6094379124341003</v>
      </c>
    </row>
    <row r="228" spans="1:19" x14ac:dyDescent="0.25">
      <c r="A228" s="44">
        <v>2015</v>
      </c>
      <c r="B228" s="44">
        <v>0</v>
      </c>
      <c r="C228" s="6">
        <v>-82.154166666666669</v>
      </c>
      <c r="D228" s="44">
        <v>1</v>
      </c>
      <c r="E228" s="1">
        <v>21.2</v>
      </c>
      <c r="F228" s="1">
        <v>1</v>
      </c>
      <c r="G228" s="1">
        <v>19</v>
      </c>
      <c r="H228" s="44">
        <v>20.95</v>
      </c>
      <c r="I228" s="44">
        <v>1.4</v>
      </c>
      <c r="J228" s="44">
        <v>0</v>
      </c>
      <c r="K228" s="44">
        <v>0.05</v>
      </c>
      <c r="L228" s="44">
        <v>0.92494481236203085</v>
      </c>
      <c r="M228" s="44">
        <v>6.1810154525386317E-2</v>
      </c>
      <c r="N228" s="44">
        <v>0</v>
      </c>
      <c r="O228" s="44">
        <v>2.2075055187637969E-3</v>
      </c>
      <c r="P228" s="50">
        <v>6.0402547112774139</v>
      </c>
      <c r="Q228" s="50">
        <v>3.3672958299864741</v>
      </c>
      <c r="R228" s="50">
        <v>0</v>
      </c>
      <c r="S228" s="50">
        <v>0.69314718055994529</v>
      </c>
    </row>
    <row r="229" spans="1:19" x14ac:dyDescent="0.25">
      <c r="A229" s="44">
        <v>2015</v>
      </c>
      <c r="B229" s="44">
        <v>0</v>
      </c>
      <c r="C229" s="6">
        <v>-82.154333333333327</v>
      </c>
      <c r="D229" s="44">
        <v>1</v>
      </c>
      <c r="E229" s="1">
        <v>21.2</v>
      </c>
      <c r="F229" s="1">
        <v>1</v>
      </c>
      <c r="G229" s="1">
        <v>14</v>
      </c>
      <c r="H229" s="44">
        <v>28.5</v>
      </c>
      <c r="I229" s="44">
        <v>0.5</v>
      </c>
      <c r="J229" s="44">
        <v>0</v>
      </c>
      <c r="K229" s="44">
        <v>0</v>
      </c>
      <c r="L229" s="44">
        <v>0.95959595959595956</v>
      </c>
      <c r="M229" s="44">
        <v>1.6835016835016835E-2</v>
      </c>
      <c r="N229" s="44">
        <v>0</v>
      </c>
      <c r="O229" s="44">
        <v>0</v>
      </c>
      <c r="P229" s="50">
        <v>6.3473892096560105</v>
      </c>
      <c r="Q229" s="50">
        <v>2.3978952727983707</v>
      </c>
      <c r="R229" s="50">
        <v>0</v>
      </c>
      <c r="S229" s="50">
        <v>0</v>
      </c>
    </row>
    <row r="230" spans="1:19" x14ac:dyDescent="0.25">
      <c r="A230" s="44">
        <v>2015</v>
      </c>
      <c r="B230" s="44">
        <v>0</v>
      </c>
      <c r="C230" s="6">
        <v>-82.151333333333326</v>
      </c>
      <c r="D230" s="44">
        <v>1</v>
      </c>
      <c r="E230" s="1">
        <v>21.2</v>
      </c>
      <c r="F230" s="1">
        <v>0</v>
      </c>
      <c r="G230" s="1">
        <v>10</v>
      </c>
      <c r="H230" s="44">
        <v>9.75</v>
      </c>
      <c r="I230" s="44">
        <v>0</v>
      </c>
      <c r="J230" s="44">
        <v>0</v>
      </c>
      <c r="K230" s="44">
        <v>0.05</v>
      </c>
      <c r="L230" s="44">
        <v>0.96534653465346532</v>
      </c>
      <c r="M230" s="44">
        <v>0</v>
      </c>
      <c r="N230" s="44">
        <v>0</v>
      </c>
      <c r="O230" s="44">
        <v>4.9504950495049506E-3</v>
      </c>
      <c r="P230" s="50">
        <v>5.2781146592305168</v>
      </c>
      <c r="Q230" s="50">
        <v>0</v>
      </c>
      <c r="R230" s="50">
        <v>0</v>
      </c>
      <c r="S230" s="50">
        <v>0.69314718055994529</v>
      </c>
    </row>
    <row r="231" spans="1:19" x14ac:dyDescent="0.25">
      <c r="A231" s="44">
        <v>2015</v>
      </c>
      <c r="B231" s="44">
        <v>0</v>
      </c>
      <c r="C231" s="6">
        <v>-82.153833333333338</v>
      </c>
      <c r="D231" s="44">
        <v>1</v>
      </c>
      <c r="E231" s="1">
        <v>21.3</v>
      </c>
      <c r="F231" s="1">
        <v>0</v>
      </c>
      <c r="G231" s="1">
        <v>6</v>
      </c>
      <c r="H231" s="44">
        <v>5.8</v>
      </c>
      <c r="I231" s="44">
        <v>0</v>
      </c>
      <c r="J231" s="44">
        <v>0</v>
      </c>
      <c r="K231" s="44">
        <v>0</v>
      </c>
      <c r="L231" s="44">
        <v>0.95867768595041325</v>
      </c>
      <c r="M231" s="44">
        <v>0</v>
      </c>
      <c r="N231" s="44">
        <v>0</v>
      </c>
      <c r="O231" s="44">
        <v>0</v>
      </c>
      <c r="P231" s="50">
        <v>4.7621739347977563</v>
      </c>
      <c r="Q231" s="50">
        <v>0</v>
      </c>
      <c r="R231" s="50">
        <v>0</v>
      </c>
      <c r="S231" s="50">
        <v>0</v>
      </c>
    </row>
    <row r="232" spans="1:19" x14ac:dyDescent="0.25">
      <c r="A232" s="44">
        <v>2015</v>
      </c>
      <c r="B232" s="44">
        <v>0</v>
      </c>
      <c r="C232" s="6">
        <v>-82.213833333333326</v>
      </c>
      <c r="D232" s="44">
        <v>1</v>
      </c>
      <c r="E232" s="1">
        <v>20.9</v>
      </c>
      <c r="F232" s="1">
        <v>1</v>
      </c>
      <c r="G232" s="1">
        <v>18</v>
      </c>
      <c r="H232" s="44">
        <v>29.75</v>
      </c>
      <c r="I232" s="44">
        <v>0.65</v>
      </c>
      <c r="J232" s="44">
        <v>0</v>
      </c>
      <c r="K232" s="44">
        <v>0</v>
      </c>
      <c r="L232" s="44">
        <v>0.92823712948517945</v>
      </c>
      <c r="M232" s="44">
        <v>2.0280811232449299E-2</v>
      </c>
      <c r="N232" s="44">
        <v>0</v>
      </c>
      <c r="O232" s="44">
        <v>0</v>
      </c>
      <c r="P232" s="50">
        <v>6.39024066706535</v>
      </c>
      <c r="Q232" s="50">
        <v>2.6390573296152584</v>
      </c>
      <c r="R232" s="50">
        <v>0</v>
      </c>
      <c r="S232" s="50">
        <v>0</v>
      </c>
    </row>
    <row r="233" spans="1:19" x14ac:dyDescent="0.25">
      <c r="A233" s="44">
        <v>2015</v>
      </c>
      <c r="B233" s="44">
        <v>0</v>
      </c>
      <c r="C233" s="6">
        <v>-82.203999999999994</v>
      </c>
      <c r="D233" s="44">
        <v>1</v>
      </c>
      <c r="E233" s="1">
        <v>20.8</v>
      </c>
      <c r="F233" s="1">
        <v>1</v>
      </c>
      <c r="G233" s="1">
        <v>13</v>
      </c>
      <c r="H233" s="44">
        <v>40.75</v>
      </c>
      <c r="I233" s="44">
        <v>0</v>
      </c>
      <c r="J233" s="44">
        <v>0</v>
      </c>
      <c r="K233" s="44">
        <v>0.05</v>
      </c>
      <c r="L233" s="44">
        <v>0.99633251833740832</v>
      </c>
      <c r="M233" s="44">
        <v>0</v>
      </c>
      <c r="N233" s="44">
        <v>0</v>
      </c>
      <c r="O233" s="44">
        <v>1.2224938875305623E-3</v>
      </c>
      <c r="P233" s="50">
        <v>6.7044143549641069</v>
      </c>
      <c r="Q233" s="50">
        <v>0</v>
      </c>
      <c r="R233" s="50">
        <v>0</v>
      </c>
      <c r="S233" s="50">
        <v>0.69314718055994529</v>
      </c>
    </row>
    <row r="234" spans="1:19" x14ac:dyDescent="0.25">
      <c r="A234" s="44">
        <v>2015</v>
      </c>
      <c r="B234" s="44">
        <v>0</v>
      </c>
      <c r="C234" s="6">
        <v>-82.204166666666666</v>
      </c>
      <c r="D234" s="44">
        <v>1</v>
      </c>
      <c r="E234" s="1">
        <v>20.9</v>
      </c>
      <c r="F234" s="1">
        <v>0</v>
      </c>
      <c r="G234" s="1">
        <v>8</v>
      </c>
      <c r="H234" s="44">
        <v>56.5</v>
      </c>
      <c r="I234" s="44">
        <v>0.15</v>
      </c>
      <c r="J234" s="44">
        <v>0</v>
      </c>
      <c r="K234" s="44">
        <v>0.05</v>
      </c>
      <c r="L234" s="44">
        <v>0.99297012302284715</v>
      </c>
      <c r="M234" s="44">
        <v>2.6362038664323375E-3</v>
      </c>
      <c r="N234" s="44">
        <v>0</v>
      </c>
      <c r="O234" s="44">
        <v>8.7873462214411243E-4</v>
      </c>
      <c r="P234" s="50">
        <v>7.0308574761161209</v>
      </c>
      <c r="Q234" s="50">
        <v>1.3862943611198906</v>
      </c>
      <c r="R234" s="50">
        <v>0</v>
      </c>
      <c r="S234" s="50">
        <v>0.69314718055994529</v>
      </c>
    </row>
    <row r="235" spans="1:19" x14ac:dyDescent="0.25">
      <c r="A235" s="44">
        <v>2015</v>
      </c>
      <c r="B235" s="44">
        <v>0</v>
      </c>
      <c r="C235" s="6">
        <v>-82.260166666666663</v>
      </c>
      <c r="D235" s="44">
        <v>0</v>
      </c>
      <c r="E235" s="1">
        <v>13.7</v>
      </c>
      <c r="F235" s="1">
        <v>0</v>
      </c>
      <c r="G235" s="1">
        <v>11</v>
      </c>
      <c r="H235" s="44">
        <v>21.357142857142858</v>
      </c>
      <c r="I235" s="44">
        <v>0</v>
      </c>
      <c r="J235" s="44">
        <v>3</v>
      </c>
      <c r="K235" s="44">
        <v>1.3571428571428572</v>
      </c>
      <c r="L235" s="44">
        <v>0.8125</v>
      </c>
      <c r="M235" s="44">
        <v>0</v>
      </c>
      <c r="N235" s="44">
        <v>0.11413043478260869</v>
      </c>
      <c r="O235" s="44">
        <v>5.1630434782608696E-2</v>
      </c>
      <c r="P235" s="50">
        <v>5.7037824746562009</v>
      </c>
      <c r="Q235" s="50">
        <v>0</v>
      </c>
      <c r="R235" s="50">
        <v>3.7612001156935624</v>
      </c>
      <c r="S235" s="50">
        <v>2.9957322735539909</v>
      </c>
    </row>
    <row r="236" spans="1:19" x14ac:dyDescent="0.25">
      <c r="A236" s="44">
        <v>2015</v>
      </c>
      <c r="B236" s="44">
        <v>0</v>
      </c>
      <c r="C236" s="6">
        <v>-82.25333333333333</v>
      </c>
      <c r="D236" s="44">
        <v>0</v>
      </c>
      <c r="E236" s="1">
        <v>15.4</v>
      </c>
      <c r="F236" s="1">
        <v>0</v>
      </c>
      <c r="G236" s="1">
        <v>7</v>
      </c>
      <c r="H236" s="44">
        <v>10.95</v>
      </c>
      <c r="I236" s="44">
        <v>0</v>
      </c>
      <c r="J236" s="44">
        <v>0.1</v>
      </c>
      <c r="K236" s="44">
        <v>0.9</v>
      </c>
      <c r="L236" s="44">
        <v>0.89387755102040811</v>
      </c>
      <c r="M236" s="44">
        <v>0</v>
      </c>
      <c r="N236" s="44">
        <v>8.1632653061224497E-3</v>
      </c>
      <c r="O236" s="44">
        <v>7.3469387755102047E-2</v>
      </c>
      <c r="P236" s="50">
        <v>5.393627546352362</v>
      </c>
      <c r="Q236" s="50">
        <v>0</v>
      </c>
      <c r="R236" s="50">
        <v>1.0986122886681098</v>
      </c>
      <c r="S236" s="50">
        <v>2.9444389791664403</v>
      </c>
    </row>
    <row r="237" spans="1:19" x14ac:dyDescent="0.25">
      <c r="A237" s="44">
        <v>2016</v>
      </c>
      <c r="B237" s="44">
        <v>1</v>
      </c>
      <c r="C237" s="6">
        <v>-80.990359999999995</v>
      </c>
      <c r="D237" s="44">
        <v>1</v>
      </c>
      <c r="E237" s="44">
        <v>21</v>
      </c>
      <c r="F237" s="1">
        <v>0</v>
      </c>
      <c r="G237" s="1">
        <v>8.5</v>
      </c>
      <c r="H237" s="44">
        <v>2.5499999999999998</v>
      </c>
      <c r="I237" s="44">
        <v>0</v>
      </c>
      <c r="J237" s="44">
        <v>0</v>
      </c>
      <c r="K237" s="44">
        <v>0</v>
      </c>
      <c r="L237" s="44">
        <v>0.96226415094339623</v>
      </c>
      <c r="M237" s="44">
        <v>0</v>
      </c>
      <c r="N237" s="44">
        <v>0</v>
      </c>
      <c r="O237" s="44">
        <v>0</v>
      </c>
      <c r="P237" s="50">
        <v>3.9512437185814275</v>
      </c>
      <c r="Q237" s="50">
        <v>0</v>
      </c>
      <c r="R237" s="50">
        <v>0</v>
      </c>
      <c r="S237" s="50">
        <v>0</v>
      </c>
    </row>
    <row r="238" spans="1:19" x14ac:dyDescent="0.25">
      <c r="A238" s="44">
        <v>2016</v>
      </c>
      <c r="B238" s="44">
        <v>1</v>
      </c>
      <c r="C238" s="6">
        <v>-81.042919999999995</v>
      </c>
      <c r="D238" s="44">
        <v>1</v>
      </c>
      <c r="E238" s="44">
        <v>22</v>
      </c>
      <c r="F238" s="1">
        <v>0</v>
      </c>
      <c r="G238" s="1">
        <v>10.7</v>
      </c>
      <c r="H238" s="44">
        <v>1.65</v>
      </c>
      <c r="I238" s="44">
        <v>1.25</v>
      </c>
      <c r="J238" s="44">
        <v>0</v>
      </c>
      <c r="K238" s="44">
        <v>0</v>
      </c>
      <c r="L238" s="44">
        <v>0.532258064516129</v>
      </c>
      <c r="M238" s="44">
        <v>0.40322580645161288</v>
      </c>
      <c r="N238" s="44">
        <v>0</v>
      </c>
      <c r="O238" s="44">
        <v>0</v>
      </c>
      <c r="P238" s="50">
        <v>3.5263605246161616</v>
      </c>
      <c r="Q238" s="50">
        <v>3.2580965380214821</v>
      </c>
      <c r="R238" s="50">
        <v>0</v>
      </c>
      <c r="S238" s="50">
        <v>0</v>
      </c>
    </row>
    <row r="239" spans="1:19" x14ac:dyDescent="0.25">
      <c r="A239" s="44">
        <v>2016</v>
      </c>
      <c r="B239" s="44">
        <v>1</v>
      </c>
      <c r="C239" s="6">
        <v>-81.074789999999993</v>
      </c>
      <c r="D239" s="44">
        <v>1</v>
      </c>
      <c r="E239" s="44">
        <v>23</v>
      </c>
      <c r="F239" s="1">
        <v>1</v>
      </c>
      <c r="G239" s="1">
        <v>17</v>
      </c>
      <c r="H239" s="44">
        <v>0</v>
      </c>
      <c r="I239" s="44">
        <v>50.1</v>
      </c>
      <c r="J239" s="44">
        <v>0</v>
      </c>
      <c r="K239" s="44">
        <v>0</v>
      </c>
      <c r="L239" s="44">
        <v>0</v>
      </c>
      <c r="M239" s="44">
        <v>0.99306243805748262</v>
      </c>
      <c r="N239" s="44">
        <v>0</v>
      </c>
      <c r="O239" s="44">
        <v>0</v>
      </c>
      <c r="P239" s="50">
        <v>0</v>
      </c>
      <c r="Q239" s="50">
        <v>6.9107507879619359</v>
      </c>
      <c r="R239" s="50">
        <v>0</v>
      </c>
      <c r="S239" s="50">
        <v>0</v>
      </c>
    </row>
    <row r="240" spans="1:19" x14ac:dyDescent="0.25">
      <c r="A240" s="44">
        <v>2016</v>
      </c>
      <c r="B240" s="44">
        <v>0</v>
      </c>
      <c r="C240" s="6">
        <v>-81.836609999999993</v>
      </c>
      <c r="D240" s="44">
        <v>1</v>
      </c>
      <c r="E240" s="44">
        <v>20</v>
      </c>
      <c r="F240" s="1">
        <v>0</v>
      </c>
      <c r="G240" s="1">
        <v>7.3</v>
      </c>
      <c r="H240" s="44">
        <v>0.35</v>
      </c>
      <c r="I240" s="44">
        <v>0</v>
      </c>
      <c r="J240" s="44">
        <v>0</v>
      </c>
      <c r="K240" s="44">
        <v>0</v>
      </c>
      <c r="L240" s="44">
        <v>0.7</v>
      </c>
      <c r="M240" s="44">
        <v>0</v>
      </c>
      <c r="N240" s="44">
        <v>0</v>
      </c>
      <c r="O240" s="44">
        <v>0</v>
      </c>
      <c r="P240" s="50">
        <v>2.0794415416798357</v>
      </c>
      <c r="Q240" s="50">
        <v>0</v>
      </c>
      <c r="R240" s="50">
        <v>0</v>
      </c>
      <c r="S240" s="50">
        <v>0</v>
      </c>
    </row>
    <row r="241" spans="1:19" x14ac:dyDescent="0.25">
      <c r="A241" s="44">
        <v>2016</v>
      </c>
      <c r="B241" s="44">
        <v>0</v>
      </c>
      <c r="C241" s="6">
        <v>-81.865960000000001</v>
      </c>
      <c r="D241" s="44">
        <v>1</v>
      </c>
      <c r="E241" s="44">
        <v>20</v>
      </c>
      <c r="F241" s="1">
        <v>0</v>
      </c>
      <c r="G241" s="1">
        <v>13.1</v>
      </c>
      <c r="H241" s="44">
        <v>1.45</v>
      </c>
      <c r="I241" s="44">
        <v>0</v>
      </c>
      <c r="J241" s="44">
        <v>0</v>
      </c>
      <c r="K241" s="44">
        <v>0.05</v>
      </c>
      <c r="L241" s="44">
        <v>0.8529411764705882</v>
      </c>
      <c r="M241" s="44">
        <v>0</v>
      </c>
      <c r="N241" s="44">
        <v>0</v>
      </c>
      <c r="O241" s="44">
        <v>2.9411764705882353E-2</v>
      </c>
      <c r="P241" s="50">
        <v>3.4011973816621555</v>
      </c>
      <c r="Q241" s="50">
        <v>0</v>
      </c>
      <c r="R241" s="50">
        <v>0</v>
      </c>
      <c r="S241" s="50">
        <v>0.69314718055994529</v>
      </c>
    </row>
    <row r="242" spans="1:19" x14ac:dyDescent="0.25">
      <c r="A242" s="44">
        <v>2016</v>
      </c>
      <c r="B242" s="44">
        <v>0</v>
      </c>
      <c r="C242" s="6">
        <v>-81.893389999999997</v>
      </c>
      <c r="D242" s="44">
        <v>1</v>
      </c>
      <c r="E242" s="44">
        <v>20</v>
      </c>
      <c r="F242" s="1">
        <v>1</v>
      </c>
      <c r="G242" s="1">
        <v>16.5</v>
      </c>
      <c r="H242" s="44">
        <v>3.05</v>
      </c>
      <c r="I242" s="44">
        <v>1.75</v>
      </c>
      <c r="J242" s="44">
        <v>0</v>
      </c>
      <c r="K242" s="44">
        <v>0.3</v>
      </c>
      <c r="L242" s="44">
        <v>0.56481481481481477</v>
      </c>
      <c r="M242" s="44">
        <v>0.32407407407407407</v>
      </c>
      <c r="N242" s="44">
        <v>0</v>
      </c>
      <c r="O242" s="44">
        <v>5.5555555555555552E-2</v>
      </c>
      <c r="P242" s="50">
        <v>4.1271343850450917</v>
      </c>
      <c r="Q242" s="50">
        <v>3.5835189384561099</v>
      </c>
      <c r="R242" s="50">
        <v>0</v>
      </c>
      <c r="S242" s="50">
        <v>1.9459101490553132</v>
      </c>
    </row>
    <row r="243" spans="1:19" x14ac:dyDescent="0.25">
      <c r="A243" s="44">
        <v>2016</v>
      </c>
      <c r="B243" s="44">
        <v>1</v>
      </c>
      <c r="C243" s="6">
        <v>-81.418890000000005</v>
      </c>
      <c r="D243" s="44">
        <v>1</v>
      </c>
      <c r="E243" s="44">
        <v>20</v>
      </c>
      <c r="F243" s="1">
        <v>0</v>
      </c>
      <c r="G243" s="1">
        <v>8.8000000000000007</v>
      </c>
      <c r="H243" s="44">
        <v>2.15</v>
      </c>
      <c r="I243" s="44">
        <v>0</v>
      </c>
      <c r="J243" s="44">
        <v>0</v>
      </c>
      <c r="K243" s="44">
        <v>0.2</v>
      </c>
      <c r="L243" s="44">
        <v>0.87755102040816324</v>
      </c>
      <c r="M243" s="44">
        <v>0</v>
      </c>
      <c r="N243" s="44">
        <v>0</v>
      </c>
      <c r="O243" s="44">
        <v>8.1632653061224483E-2</v>
      </c>
      <c r="P243" s="50">
        <v>3.784189633918261</v>
      </c>
      <c r="Q243" s="50">
        <v>0</v>
      </c>
      <c r="R243" s="50">
        <v>0</v>
      </c>
      <c r="S243" s="50">
        <v>1.6094379124341003</v>
      </c>
    </row>
    <row r="244" spans="1:19" x14ac:dyDescent="0.25">
      <c r="A244" s="44">
        <v>2016</v>
      </c>
      <c r="B244" s="44">
        <v>1</v>
      </c>
      <c r="C244" s="6">
        <v>-81.448160000000001</v>
      </c>
      <c r="D244" s="44">
        <v>1</v>
      </c>
      <c r="E244" s="44">
        <v>20</v>
      </c>
      <c r="F244" s="1">
        <v>0</v>
      </c>
      <c r="G244" s="1">
        <v>13.1</v>
      </c>
      <c r="H244" s="44">
        <v>5.7</v>
      </c>
      <c r="I244" s="44">
        <v>0.85</v>
      </c>
      <c r="J244" s="44">
        <v>0</v>
      </c>
      <c r="K244" s="44">
        <v>0.05</v>
      </c>
      <c r="L244" s="44">
        <v>0.86363636363636365</v>
      </c>
      <c r="M244" s="44">
        <v>0.12878787878787878</v>
      </c>
      <c r="N244" s="44">
        <v>0</v>
      </c>
      <c r="O244" s="44">
        <v>7.575757575757576E-3</v>
      </c>
      <c r="P244" s="50">
        <v>4.7449321283632502</v>
      </c>
      <c r="Q244" s="50">
        <v>2.8903717578961645</v>
      </c>
      <c r="R244" s="50">
        <v>0</v>
      </c>
      <c r="S244" s="50">
        <v>0.69314718055994529</v>
      </c>
    </row>
    <row r="245" spans="1:19" x14ac:dyDescent="0.25">
      <c r="A245" s="44">
        <v>2016</v>
      </c>
      <c r="B245" s="44">
        <v>1</v>
      </c>
      <c r="C245" s="6">
        <v>-81.478809999999996</v>
      </c>
      <c r="D245" s="44">
        <v>1</v>
      </c>
      <c r="E245" s="44">
        <v>20</v>
      </c>
      <c r="F245" s="1">
        <v>1</v>
      </c>
      <c r="G245" s="1">
        <v>17</v>
      </c>
      <c r="H245" s="44">
        <v>3.55</v>
      </c>
      <c r="I245" s="44">
        <v>15.7</v>
      </c>
      <c r="J245" s="44">
        <v>0</v>
      </c>
      <c r="K245" s="44">
        <v>0</v>
      </c>
      <c r="L245" s="44">
        <v>0.18112244897959184</v>
      </c>
      <c r="M245" s="44">
        <v>0.80102040816326525</v>
      </c>
      <c r="N245" s="44">
        <v>0</v>
      </c>
      <c r="O245" s="44">
        <v>0</v>
      </c>
      <c r="P245" s="50">
        <v>4.2766661190160553</v>
      </c>
      <c r="Q245" s="50">
        <v>5.7525726388256331</v>
      </c>
      <c r="R245" s="50">
        <v>0</v>
      </c>
      <c r="S245" s="50">
        <v>0</v>
      </c>
    </row>
    <row r="246" spans="1:19" x14ac:dyDescent="0.25">
      <c r="A246" s="44">
        <v>2016</v>
      </c>
      <c r="B246" s="44">
        <v>1</v>
      </c>
      <c r="C246" s="13">
        <v>-80.900000000000006</v>
      </c>
      <c r="D246" s="44">
        <v>1</v>
      </c>
      <c r="E246" s="44">
        <v>20.6</v>
      </c>
      <c r="F246" s="1">
        <v>1</v>
      </c>
      <c r="G246" s="1">
        <v>18</v>
      </c>
      <c r="H246" s="44">
        <v>1.1499999999999999</v>
      </c>
      <c r="I246" s="44">
        <v>3.45</v>
      </c>
      <c r="J246" s="44">
        <v>0</v>
      </c>
      <c r="K246" s="44">
        <v>0</v>
      </c>
      <c r="L246" s="44">
        <v>0.21100917431192662</v>
      </c>
      <c r="M246" s="44">
        <v>0.6330275229357798</v>
      </c>
      <c r="N246" s="44">
        <v>0</v>
      </c>
      <c r="O246" s="44">
        <v>0</v>
      </c>
      <c r="P246" s="50">
        <v>3.1780538303479458</v>
      </c>
      <c r="Q246" s="50">
        <v>4.2484952420493594</v>
      </c>
      <c r="R246" s="50">
        <v>0</v>
      </c>
      <c r="S246" s="50">
        <v>0</v>
      </c>
    </row>
    <row r="247" spans="1:19" x14ac:dyDescent="0.25">
      <c r="A247" s="44">
        <v>2016</v>
      </c>
      <c r="B247" s="44">
        <v>1</v>
      </c>
      <c r="C247" s="6">
        <v>-80.918833333333339</v>
      </c>
      <c r="D247" s="44">
        <v>1</v>
      </c>
      <c r="E247" s="44">
        <v>20.6</v>
      </c>
      <c r="F247" s="1">
        <v>1</v>
      </c>
      <c r="G247" s="1">
        <v>16</v>
      </c>
      <c r="H247" s="44">
        <v>5.8</v>
      </c>
      <c r="I247" s="44">
        <v>0</v>
      </c>
      <c r="J247" s="44">
        <v>0</v>
      </c>
      <c r="K247" s="44">
        <v>0</v>
      </c>
      <c r="L247" s="44">
        <v>0.95867768595041325</v>
      </c>
      <c r="M247" s="44">
        <v>0</v>
      </c>
      <c r="N247" s="44">
        <v>0</v>
      </c>
      <c r="O247" s="44">
        <v>0</v>
      </c>
      <c r="P247" s="50">
        <v>4.7621739347977563</v>
      </c>
      <c r="Q247" s="50">
        <v>0</v>
      </c>
      <c r="R247" s="50">
        <v>0</v>
      </c>
      <c r="S247" s="50">
        <v>0</v>
      </c>
    </row>
    <row r="248" spans="1:19" x14ac:dyDescent="0.25">
      <c r="A248" s="44">
        <v>2016</v>
      </c>
      <c r="B248" s="44">
        <v>1</v>
      </c>
      <c r="C248" s="6">
        <v>-80.918000000000006</v>
      </c>
      <c r="D248" s="44">
        <v>1</v>
      </c>
      <c r="E248" s="44">
        <v>20.7</v>
      </c>
      <c r="F248" s="1">
        <v>0</v>
      </c>
      <c r="G248" s="1">
        <v>13</v>
      </c>
      <c r="H248" s="44">
        <v>12.4</v>
      </c>
      <c r="I248" s="44">
        <v>0</v>
      </c>
      <c r="J248" s="44">
        <v>0</v>
      </c>
      <c r="K248" s="44">
        <v>0</v>
      </c>
      <c r="L248" s="44">
        <v>1</v>
      </c>
      <c r="M248" s="44">
        <v>0</v>
      </c>
      <c r="N248" s="44">
        <v>0</v>
      </c>
      <c r="O248" s="44">
        <v>0</v>
      </c>
      <c r="P248" s="50">
        <v>5.5174528964647074</v>
      </c>
      <c r="Q248" s="50">
        <v>0</v>
      </c>
      <c r="R248" s="50">
        <v>0</v>
      </c>
      <c r="S248" s="50">
        <v>0</v>
      </c>
    </row>
    <row r="249" spans="1:19" x14ac:dyDescent="0.25">
      <c r="A249" s="44">
        <v>2016</v>
      </c>
      <c r="B249" s="44">
        <v>1</v>
      </c>
      <c r="C249" s="6">
        <v>-80.984833333333327</v>
      </c>
      <c r="D249" s="44">
        <v>0</v>
      </c>
      <c r="E249" s="44">
        <v>18.100000000000001</v>
      </c>
      <c r="F249" s="1">
        <v>0</v>
      </c>
      <c r="G249" s="1">
        <v>12</v>
      </c>
      <c r="H249" s="44">
        <v>4.8499999999999996</v>
      </c>
      <c r="I249" s="44">
        <v>0.45</v>
      </c>
      <c r="J249" s="44">
        <v>0</v>
      </c>
      <c r="K249" s="44">
        <v>0.05</v>
      </c>
      <c r="L249" s="44">
        <v>0.90654205607476634</v>
      </c>
      <c r="M249" s="44">
        <v>8.4112149532710276E-2</v>
      </c>
      <c r="N249" s="44">
        <v>0</v>
      </c>
      <c r="O249" s="44">
        <v>9.3457943925233638E-3</v>
      </c>
      <c r="P249" s="50">
        <v>4.5849674786705723</v>
      </c>
      <c r="Q249" s="50">
        <v>2.3025850929940459</v>
      </c>
      <c r="R249" s="50">
        <v>0</v>
      </c>
      <c r="S249" s="50">
        <v>0.69314718055994529</v>
      </c>
    </row>
    <row r="250" spans="1:19" x14ac:dyDescent="0.25">
      <c r="A250" s="44">
        <v>2016</v>
      </c>
      <c r="B250" s="44">
        <v>1</v>
      </c>
      <c r="C250" s="6">
        <v>-80.986333333333334</v>
      </c>
      <c r="D250" s="44">
        <v>0</v>
      </c>
      <c r="E250" s="44">
        <v>18.100000000000001</v>
      </c>
      <c r="F250" s="1">
        <v>0</v>
      </c>
      <c r="G250" s="1">
        <v>9</v>
      </c>
      <c r="H250" s="44">
        <v>67.45</v>
      </c>
      <c r="I250" s="44">
        <v>0.25</v>
      </c>
      <c r="J250" s="44">
        <v>0</v>
      </c>
      <c r="K250" s="44">
        <v>0.2</v>
      </c>
      <c r="L250" s="44">
        <v>0.99264164827078738</v>
      </c>
      <c r="M250" s="44">
        <v>3.6791758646063282E-3</v>
      </c>
      <c r="N250" s="44">
        <v>0</v>
      </c>
      <c r="O250" s="44">
        <v>2.9433406916850625E-3</v>
      </c>
      <c r="P250" s="50">
        <v>7.2078598714324755</v>
      </c>
      <c r="Q250" s="50">
        <v>1.791759469228055</v>
      </c>
      <c r="R250" s="50">
        <v>0</v>
      </c>
      <c r="S250" s="50">
        <v>1.6094379124341003</v>
      </c>
    </row>
    <row r="251" spans="1:19" x14ac:dyDescent="0.25">
      <c r="A251" s="44">
        <v>2016</v>
      </c>
      <c r="B251" s="44">
        <v>1</v>
      </c>
      <c r="C251" s="6">
        <v>-80.983500000000006</v>
      </c>
      <c r="D251" s="44">
        <v>0</v>
      </c>
      <c r="E251" s="44">
        <v>18.2</v>
      </c>
      <c r="F251" s="1">
        <v>0</v>
      </c>
      <c r="G251" s="1">
        <v>6</v>
      </c>
      <c r="H251" s="44">
        <v>67.75</v>
      </c>
      <c r="I251" s="44">
        <v>0</v>
      </c>
      <c r="J251" s="44">
        <v>0</v>
      </c>
      <c r="K251" s="44">
        <v>0.2</v>
      </c>
      <c r="L251" s="44">
        <v>0.99705665930831489</v>
      </c>
      <c r="M251" s="44">
        <v>0</v>
      </c>
      <c r="N251" s="44">
        <v>0</v>
      </c>
      <c r="O251" s="44">
        <v>2.9433406916850625E-3</v>
      </c>
      <c r="P251" s="50">
        <v>7.2122944685003407</v>
      </c>
      <c r="Q251" s="50">
        <v>0</v>
      </c>
      <c r="R251" s="50">
        <v>0</v>
      </c>
      <c r="S251" s="50">
        <v>1.6094379124341003</v>
      </c>
    </row>
    <row r="252" spans="1:19" x14ac:dyDescent="0.25">
      <c r="A252" s="44">
        <v>2016</v>
      </c>
      <c r="B252" s="44">
        <v>1</v>
      </c>
      <c r="C252" s="6">
        <v>-81.034000000000006</v>
      </c>
      <c r="D252" s="44">
        <v>0</v>
      </c>
      <c r="E252" s="44">
        <v>14.5</v>
      </c>
      <c r="F252" s="1">
        <v>0</v>
      </c>
      <c r="G252" s="1">
        <v>9</v>
      </c>
      <c r="H252" s="44">
        <v>1.35</v>
      </c>
      <c r="I252" s="44">
        <v>85.05</v>
      </c>
      <c r="J252" s="44">
        <v>0</v>
      </c>
      <c r="K252" s="44">
        <v>0</v>
      </c>
      <c r="L252" s="44">
        <v>1.5625E-2</v>
      </c>
      <c r="M252" s="44">
        <v>0.984375</v>
      </c>
      <c r="N252" s="44">
        <v>0</v>
      </c>
      <c r="O252" s="44">
        <v>0</v>
      </c>
      <c r="P252" s="50">
        <v>3.3322045101752038</v>
      </c>
      <c r="Q252" s="50">
        <v>7.4395593091333199</v>
      </c>
      <c r="R252" s="50">
        <v>0</v>
      </c>
      <c r="S252" s="50">
        <v>0</v>
      </c>
    </row>
    <row r="253" spans="1:19" x14ac:dyDescent="0.25">
      <c r="A253" s="44">
        <v>2016</v>
      </c>
      <c r="B253" s="44">
        <v>1</v>
      </c>
      <c r="C253" s="6">
        <v>-81.013000000000005</v>
      </c>
      <c r="D253" s="44">
        <v>0</v>
      </c>
      <c r="E253" s="44">
        <v>13.7</v>
      </c>
      <c r="F253" s="1">
        <v>0</v>
      </c>
      <c r="G253" s="1">
        <v>6</v>
      </c>
      <c r="H253" s="44">
        <v>4.5</v>
      </c>
      <c r="I253" s="44">
        <v>0.15</v>
      </c>
      <c r="J253" s="44">
        <v>0</v>
      </c>
      <c r="K253" s="44">
        <v>0</v>
      </c>
      <c r="L253" s="44">
        <v>0.967741935483871</v>
      </c>
      <c r="M253" s="44">
        <v>3.2258064516129031E-2</v>
      </c>
      <c r="N253" s="44">
        <v>0</v>
      </c>
      <c r="O253" s="44">
        <v>0</v>
      </c>
      <c r="P253" s="50">
        <v>4.5108595065168497</v>
      </c>
      <c r="Q253" s="50">
        <v>1.3862943611198906</v>
      </c>
      <c r="R253" s="50">
        <v>0</v>
      </c>
      <c r="S253" s="50">
        <v>0</v>
      </c>
    </row>
    <row r="254" spans="1:19" x14ac:dyDescent="0.25">
      <c r="A254" s="44">
        <v>2016</v>
      </c>
      <c r="B254" s="44">
        <v>1</v>
      </c>
      <c r="C254" s="6">
        <v>-81.470166666666671</v>
      </c>
      <c r="D254" s="44">
        <v>0</v>
      </c>
      <c r="E254" s="44">
        <v>11.8</v>
      </c>
      <c r="F254" s="1">
        <v>0</v>
      </c>
      <c r="G254" s="1">
        <v>7</v>
      </c>
      <c r="H254" s="44">
        <v>3.95</v>
      </c>
      <c r="I254" s="44">
        <v>46.2</v>
      </c>
      <c r="J254" s="44">
        <v>0</v>
      </c>
      <c r="K254" s="44">
        <v>0.05</v>
      </c>
      <c r="L254" s="44">
        <v>7.8606965174129351E-2</v>
      </c>
      <c r="M254" s="44">
        <v>0.91940298507462681</v>
      </c>
      <c r="N254" s="44">
        <v>0</v>
      </c>
      <c r="O254" s="44">
        <v>9.9502487562189048E-4</v>
      </c>
      <c r="P254" s="50">
        <v>4.3820266346738812</v>
      </c>
      <c r="Q254" s="50">
        <v>6.8297937375124249</v>
      </c>
      <c r="R254" s="50">
        <v>0</v>
      </c>
      <c r="S254" s="50">
        <v>0.69314718055994529</v>
      </c>
    </row>
    <row r="255" spans="1:19" x14ac:dyDescent="0.25">
      <c r="A255" s="44">
        <v>2016</v>
      </c>
      <c r="B255" s="44">
        <v>1</v>
      </c>
      <c r="C255" s="6">
        <v>-81.464500000000001</v>
      </c>
      <c r="D255" s="44">
        <v>0</v>
      </c>
      <c r="E255" s="44">
        <v>14.1</v>
      </c>
      <c r="F255" s="1">
        <v>0</v>
      </c>
      <c r="G255" s="1">
        <v>4</v>
      </c>
      <c r="H255" s="44">
        <v>9.15</v>
      </c>
      <c r="I255" s="44">
        <v>0.25</v>
      </c>
      <c r="J255" s="44">
        <v>0</v>
      </c>
      <c r="K255" s="44">
        <v>0.05</v>
      </c>
      <c r="L255" s="44">
        <v>0.96825396825396826</v>
      </c>
      <c r="M255" s="44">
        <v>2.6455026455026454E-2</v>
      </c>
      <c r="N255" s="44">
        <v>0</v>
      </c>
      <c r="O255" s="44">
        <v>5.2910052910052907E-3</v>
      </c>
      <c r="P255" s="50">
        <v>5.2149357576089859</v>
      </c>
      <c r="Q255" s="50">
        <v>1.791759469228055</v>
      </c>
      <c r="R255" s="50">
        <v>0</v>
      </c>
      <c r="S255" s="50">
        <v>0.69314718055994529</v>
      </c>
    </row>
    <row r="256" spans="1:19" x14ac:dyDescent="0.25">
      <c r="A256" s="44">
        <v>2016</v>
      </c>
      <c r="B256" s="44">
        <v>1</v>
      </c>
      <c r="C256" s="6">
        <v>-81.432500000000005</v>
      </c>
      <c r="D256" s="44">
        <v>1</v>
      </c>
      <c r="E256" s="44">
        <v>19.899999999999999</v>
      </c>
      <c r="F256" s="21">
        <v>1</v>
      </c>
      <c r="G256" s="21">
        <v>16</v>
      </c>
      <c r="H256" s="44">
        <v>19.95</v>
      </c>
      <c r="I256" s="44">
        <v>31.7</v>
      </c>
      <c r="J256" s="44">
        <v>0</v>
      </c>
      <c r="K256" s="44">
        <v>0.15</v>
      </c>
      <c r="L256" s="44">
        <v>0.38181818181818183</v>
      </c>
      <c r="M256" s="44">
        <v>0.6066985645933014</v>
      </c>
      <c r="N256" s="44">
        <v>0</v>
      </c>
      <c r="O256" s="44">
        <v>2.8708133971291866E-3</v>
      </c>
      <c r="P256" s="50">
        <v>5.9914645471079817</v>
      </c>
      <c r="Q256" s="50">
        <v>6.4536249988926917</v>
      </c>
      <c r="R256" s="50">
        <v>0</v>
      </c>
      <c r="S256" s="50">
        <v>1.3862943611198906</v>
      </c>
    </row>
    <row r="257" spans="1:19" x14ac:dyDescent="0.25">
      <c r="A257" s="44">
        <v>2016</v>
      </c>
      <c r="B257" s="44">
        <v>1</v>
      </c>
      <c r="C257" s="6">
        <v>-81.426333333333332</v>
      </c>
      <c r="D257" s="44">
        <v>1</v>
      </c>
      <c r="E257" s="44">
        <v>20.5</v>
      </c>
      <c r="F257" s="1">
        <v>0</v>
      </c>
      <c r="G257" s="1">
        <v>13</v>
      </c>
      <c r="H257" s="44">
        <v>41.1</v>
      </c>
      <c r="I257" s="44">
        <v>2.2000000000000002</v>
      </c>
      <c r="J257" s="44">
        <v>0</v>
      </c>
      <c r="K257" s="44">
        <v>0</v>
      </c>
      <c r="L257" s="44">
        <v>0.94809688581314877</v>
      </c>
      <c r="M257" s="44">
        <v>5.0749711649365627E-2</v>
      </c>
      <c r="N257" s="44">
        <v>0</v>
      </c>
      <c r="O257" s="44">
        <v>0</v>
      </c>
      <c r="P257" s="50">
        <v>6.7129562006770698</v>
      </c>
      <c r="Q257" s="50">
        <v>3.8066624897703196</v>
      </c>
      <c r="R257" s="50">
        <v>0</v>
      </c>
      <c r="S257" s="50">
        <v>0</v>
      </c>
    </row>
    <row r="258" spans="1:19" x14ac:dyDescent="0.25">
      <c r="A258" s="44">
        <v>2016</v>
      </c>
      <c r="B258" s="44">
        <v>1</v>
      </c>
      <c r="C258" s="6">
        <v>-81.433666666666667</v>
      </c>
      <c r="D258" s="44">
        <v>1</v>
      </c>
      <c r="E258" s="44">
        <v>19.899999999999999</v>
      </c>
      <c r="F258" s="1">
        <v>0</v>
      </c>
      <c r="G258" s="1">
        <v>8</v>
      </c>
      <c r="H258" s="44">
        <v>26.95</v>
      </c>
      <c r="I258" s="44">
        <v>0</v>
      </c>
      <c r="J258" s="44">
        <v>0</v>
      </c>
      <c r="K258" s="44">
        <v>0.2</v>
      </c>
      <c r="L258" s="44">
        <v>0.98717948717948723</v>
      </c>
      <c r="M258" s="44">
        <v>0</v>
      </c>
      <c r="N258" s="44">
        <v>0</v>
      </c>
      <c r="O258" s="44">
        <v>7.326007326007326E-3</v>
      </c>
      <c r="P258" s="50">
        <v>6.2915691395583204</v>
      </c>
      <c r="Q258" s="50">
        <v>0</v>
      </c>
      <c r="R258" s="50">
        <v>0</v>
      </c>
      <c r="S258" s="50">
        <v>1.6094379124341003</v>
      </c>
    </row>
    <row r="259" spans="1:19" x14ac:dyDescent="0.25">
      <c r="A259" s="44">
        <v>2016</v>
      </c>
      <c r="B259" s="44">
        <v>1</v>
      </c>
      <c r="C259" s="6">
        <v>-81.38033333333334</v>
      </c>
      <c r="D259" s="44">
        <v>1</v>
      </c>
      <c r="E259" s="44">
        <v>22.2</v>
      </c>
      <c r="F259" s="1">
        <v>1</v>
      </c>
      <c r="G259" s="1">
        <v>20</v>
      </c>
      <c r="H259" s="44">
        <v>7.15</v>
      </c>
      <c r="I259" s="44">
        <v>2.7</v>
      </c>
      <c r="J259" s="44">
        <v>0</v>
      </c>
      <c r="K259" s="44">
        <v>0</v>
      </c>
      <c r="L259" s="44">
        <v>0.7258883248730964</v>
      </c>
      <c r="M259" s="44">
        <v>0.27411167512690354</v>
      </c>
      <c r="N259" s="44">
        <v>0</v>
      </c>
      <c r="O259" s="44">
        <v>0</v>
      </c>
      <c r="P259" s="50">
        <v>4.9698132995760007</v>
      </c>
      <c r="Q259" s="50">
        <v>4.0073331852324712</v>
      </c>
      <c r="R259" s="50">
        <v>0</v>
      </c>
      <c r="S259" s="50">
        <v>0</v>
      </c>
    </row>
    <row r="260" spans="1:19" x14ac:dyDescent="0.25">
      <c r="A260" s="44">
        <v>2016</v>
      </c>
      <c r="B260" s="44">
        <v>1</v>
      </c>
      <c r="C260" s="6">
        <v>-81.381666666666661</v>
      </c>
      <c r="D260" s="44">
        <v>1</v>
      </c>
      <c r="E260" s="44">
        <v>22.1</v>
      </c>
      <c r="F260" s="1">
        <v>1</v>
      </c>
      <c r="G260" s="1">
        <v>17</v>
      </c>
      <c r="H260" s="44">
        <v>6.35</v>
      </c>
      <c r="I260" s="44">
        <v>0.6</v>
      </c>
      <c r="J260" s="44">
        <v>0</v>
      </c>
      <c r="K260" s="44">
        <v>0</v>
      </c>
      <c r="L260" s="44">
        <v>0.90714285714285714</v>
      </c>
      <c r="M260" s="44">
        <v>8.5714285714285715E-2</v>
      </c>
      <c r="N260" s="44">
        <v>0</v>
      </c>
      <c r="O260" s="44">
        <v>0</v>
      </c>
      <c r="P260" s="50">
        <v>4.8520302639196169</v>
      </c>
      <c r="Q260" s="50">
        <v>2.5649493574615367</v>
      </c>
      <c r="R260" s="50">
        <v>0</v>
      </c>
      <c r="S260" s="50">
        <v>0</v>
      </c>
    </row>
    <row r="261" spans="1:19" x14ac:dyDescent="0.25">
      <c r="A261" s="44">
        <v>2016</v>
      </c>
      <c r="B261" s="44">
        <v>1</v>
      </c>
      <c r="C261" s="6">
        <v>-81.37733333333334</v>
      </c>
      <c r="D261" s="44">
        <v>1</v>
      </c>
      <c r="E261" s="44">
        <v>22.2</v>
      </c>
      <c r="F261" s="1">
        <v>0</v>
      </c>
      <c r="G261" s="1">
        <v>13</v>
      </c>
      <c r="H261" s="44">
        <v>41.95</v>
      </c>
      <c r="I261" s="44">
        <v>0</v>
      </c>
      <c r="J261" s="44">
        <v>0</v>
      </c>
      <c r="K261" s="44">
        <v>0.15</v>
      </c>
      <c r="L261" s="44">
        <v>0.99643705463182897</v>
      </c>
      <c r="M261" s="44">
        <v>0</v>
      </c>
      <c r="N261" s="44">
        <v>0</v>
      </c>
      <c r="O261" s="44">
        <v>3.5629453681710215E-3</v>
      </c>
      <c r="P261" s="50">
        <v>6.7334018918373593</v>
      </c>
      <c r="Q261" s="50">
        <v>0</v>
      </c>
      <c r="R261" s="50">
        <v>0</v>
      </c>
      <c r="S261" s="50">
        <v>1.3862943611198906</v>
      </c>
    </row>
    <row r="262" spans="1:19" x14ac:dyDescent="0.25">
      <c r="A262" s="44">
        <v>2016</v>
      </c>
      <c r="B262" s="44">
        <v>1</v>
      </c>
      <c r="C262" s="6">
        <v>-81.385333333333335</v>
      </c>
      <c r="D262" s="44">
        <v>1</v>
      </c>
      <c r="E262" s="44">
        <v>22.1</v>
      </c>
      <c r="F262" s="1">
        <v>0</v>
      </c>
      <c r="G262" s="1">
        <v>10</v>
      </c>
      <c r="H262" s="44">
        <v>44.4</v>
      </c>
      <c r="I262" s="44">
        <v>0</v>
      </c>
      <c r="J262" s="44">
        <v>0</v>
      </c>
      <c r="K262" s="44">
        <v>0.05</v>
      </c>
      <c r="L262" s="44">
        <v>0.99887514060742411</v>
      </c>
      <c r="M262" s="44">
        <v>0</v>
      </c>
      <c r="N262" s="44">
        <v>0</v>
      </c>
      <c r="O262" s="44">
        <v>1.1248593925759281E-3</v>
      </c>
      <c r="P262" s="50">
        <v>6.7900972355139046</v>
      </c>
      <c r="Q262" s="50">
        <v>0</v>
      </c>
      <c r="R262" s="50">
        <v>0</v>
      </c>
      <c r="S262" s="50">
        <v>0.69314718055994529</v>
      </c>
    </row>
    <row r="263" spans="1:19" x14ac:dyDescent="0.25">
      <c r="A263" s="44">
        <v>2016</v>
      </c>
      <c r="B263" s="44">
        <v>0</v>
      </c>
      <c r="C263" s="6">
        <v>-81.754666666666665</v>
      </c>
      <c r="D263" s="44">
        <v>1</v>
      </c>
      <c r="E263" s="44">
        <v>23</v>
      </c>
      <c r="F263" s="1">
        <v>1</v>
      </c>
      <c r="G263" s="1">
        <v>20</v>
      </c>
      <c r="H263" s="44">
        <v>0.4</v>
      </c>
      <c r="I263" s="44">
        <v>9.9499999999999993</v>
      </c>
      <c r="J263" s="44">
        <v>0</v>
      </c>
      <c r="K263" s="44">
        <v>0.05</v>
      </c>
      <c r="L263" s="44">
        <v>3.7914691943127965E-2</v>
      </c>
      <c r="M263" s="44">
        <v>0.94312796208530802</v>
      </c>
      <c r="N263" s="44">
        <v>0</v>
      </c>
      <c r="O263" s="44">
        <v>4.7393364928909956E-3</v>
      </c>
      <c r="P263" s="50">
        <v>2.1972245773362196</v>
      </c>
      <c r="Q263" s="50">
        <v>5.2983173665480363</v>
      </c>
      <c r="R263" s="50">
        <v>0</v>
      </c>
      <c r="S263" s="50">
        <v>0.69314718055994529</v>
      </c>
    </row>
    <row r="264" spans="1:19" x14ac:dyDescent="0.25">
      <c r="A264" s="44">
        <v>2016</v>
      </c>
      <c r="B264" s="44">
        <v>0</v>
      </c>
      <c r="C264" s="6">
        <v>-81.764833333333328</v>
      </c>
      <c r="D264" s="44">
        <v>1</v>
      </c>
      <c r="E264" s="44">
        <v>23.6</v>
      </c>
      <c r="F264" s="1">
        <v>1</v>
      </c>
      <c r="G264" s="1">
        <v>17</v>
      </c>
      <c r="H264" s="44">
        <v>7.95</v>
      </c>
      <c r="I264" s="44">
        <v>0.3</v>
      </c>
      <c r="J264" s="44">
        <v>0</v>
      </c>
      <c r="K264" s="44">
        <v>0.6</v>
      </c>
      <c r="L264" s="44">
        <v>0.85026737967914434</v>
      </c>
      <c r="M264" s="44">
        <v>3.2085561497326207E-2</v>
      </c>
      <c r="N264" s="44">
        <v>0</v>
      </c>
      <c r="O264" s="44">
        <v>6.4171122994652413E-2</v>
      </c>
      <c r="P264" s="50">
        <v>5.0751738152338266</v>
      </c>
      <c r="Q264" s="50">
        <v>1.9459101490553132</v>
      </c>
      <c r="R264" s="50">
        <v>0</v>
      </c>
      <c r="S264" s="50">
        <v>2.5649493574615367</v>
      </c>
    </row>
    <row r="265" spans="1:19" x14ac:dyDescent="0.25">
      <c r="A265" s="44">
        <v>2016</v>
      </c>
      <c r="B265" s="44">
        <v>0</v>
      </c>
      <c r="C265" s="6">
        <v>-81.74633333333334</v>
      </c>
      <c r="D265" s="44">
        <v>1</v>
      </c>
      <c r="E265" s="44">
        <v>23.9</v>
      </c>
      <c r="F265" s="1">
        <v>0</v>
      </c>
      <c r="G265" s="1">
        <v>13</v>
      </c>
      <c r="H265" s="44">
        <v>5.65</v>
      </c>
      <c r="I265" s="44">
        <v>0</v>
      </c>
      <c r="J265" s="44">
        <v>0</v>
      </c>
      <c r="K265" s="44">
        <v>0.35</v>
      </c>
      <c r="L265" s="44">
        <v>0.92622950819672134</v>
      </c>
      <c r="M265" s="44">
        <v>0</v>
      </c>
      <c r="N265" s="44">
        <v>0</v>
      </c>
      <c r="O265" s="44">
        <v>5.737704918032787E-2</v>
      </c>
      <c r="P265" s="50">
        <v>4.7361984483944957</v>
      </c>
      <c r="Q265" s="50">
        <v>0</v>
      </c>
      <c r="R265" s="50">
        <v>0</v>
      </c>
      <c r="S265" s="50">
        <v>2.0794415416798357</v>
      </c>
    </row>
    <row r="266" spans="1:19" x14ac:dyDescent="0.25">
      <c r="A266" s="44">
        <v>2016</v>
      </c>
      <c r="B266" s="44">
        <v>0</v>
      </c>
      <c r="C266" s="6">
        <v>-81.740499999999997</v>
      </c>
      <c r="D266" s="44">
        <v>1</v>
      </c>
      <c r="E266" s="44">
        <v>24</v>
      </c>
      <c r="F266" s="1">
        <v>0</v>
      </c>
      <c r="G266" s="1">
        <v>7</v>
      </c>
      <c r="H266" s="44">
        <v>0.55000000000000004</v>
      </c>
      <c r="I266" s="44">
        <v>0</v>
      </c>
      <c r="J266" s="44">
        <v>0</v>
      </c>
      <c r="K266" s="44">
        <v>0.6</v>
      </c>
      <c r="L266" s="44">
        <v>0.40740740740740738</v>
      </c>
      <c r="M266" s="44">
        <v>0</v>
      </c>
      <c r="N266" s="44">
        <v>0</v>
      </c>
      <c r="O266" s="44">
        <v>0.44444444444444442</v>
      </c>
      <c r="P266" s="50">
        <v>2.4849066497880004</v>
      </c>
      <c r="Q266" s="50">
        <v>0</v>
      </c>
      <c r="R266" s="50">
        <v>0</v>
      </c>
      <c r="S266" s="50">
        <v>2.5649493574615367</v>
      </c>
    </row>
    <row r="267" spans="1:19" x14ac:dyDescent="0.25">
      <c r="A267" s="44">
        <v>2016</v>
      </c>
      <c r="B267" s="44">
        <v>0</v>
      </c>
      <c r="C267" s="6">
        <v>-81.805666666666667</v>
      </c>
      <c r="D267" s="44">
        <v>1</v>
      </c>
      <c r="E267" s="44">
        <v>20.3</v>
      </c>
      <c r="F267" s="1">
        <v>0</v>
      </c>
      <c r="G267" s="1">
        <v>15</v>
      </c>
      <c r="H267" s="44">
        <v>0</v>
      </c>
      <c r="I267" s="44">
        <v>887</v>
      </c>
      <c r="J267" s="44">
        <v>0</v>
      </c>
      <c r="K267" s="44">
        <v>0</v>
      </c>
      <c r="L267" s="44">
        <v>0</v>
      </c>
      <c r="M267" s="44">
        <v>0.99988727313718861</v>
      </c>
      <c r="N267" s="44">
        <v>0</v>
      </c>
      <c r="O267" s="44">
        <v>0</v>
      </c>
      <c r="P267" s="50">
        <v>0</v>
      </c>
      <c r="Q267" s="50">
        <v>9.7836336240606485</v>
      </c>
      <c r="R267" s="50">
        <v>0</v>
      </c>
      <c r="S267" s="50">
        <v>0</v>
      </c>
    </row>
    <row r="268" spans="1:19" x14ac:dyDescent="0.25">
      <c r="A268" s="44">
        <v>2016</v>
      </c>
      <c r="B268" s="44">
        <v>0</v>
      </c>
      <c r="C268" s="6">
        <v>-82.258166666666668</v>
      </c>
      <c r="D268" s="44">
        <v>0</v>
      </c>
      <c r="E268" s="44">
        <v>14</v>
      </c>
      <c r="F268" s="21">
        <v>0</v>
      </c>
      <c r="G268" s="21">
        <v>10</v>
      </c>
      <c r="H268" s="44">
        <v>2.4500000000000002</v>
      </c>
      <c r="I268" s="44">
        <v>0.1</v>
      </c>
      <c r="J268" s="44">
        <v>0</v>
      </c>
      <c r="K268" s="44">
        <v>0.65</v>
      </c>
      <c r="L268" s="44">
        <v>0.30625000000000002</v>
      </c>
      <c r="M268" s="44">
        <v>1.2500000000000001E-2</v>
      </c>
      <c r="N268" s="44">
        <v>0</v>
      </c>
      <c r="O268" s="44">
        <v>8.1250000000000003E-2</v>
      </c>
      <c r="P268" s="50">
        <v>3.912023005428146</v>
      </c>
      <c r="Q268" s="50">
        <v>1.0986122886681098</v>
      </c>
      <c r="R268" s="50">
        <v>0</v>
      </c>
      <c r="S268" s="50">
        <v>2.6390573296152584</v>
      </c>
    </row>
    <row r="269" spans="1:19" x14ac:dyDescent="0.25">
      <c r="A269" s="44">
        <v>2016</v>
      </c>
      <c r="B269" s="44">
        <v>0</v>
      </c>
      <c r="C269" s="6">
        <v>-82.24966666666667</v>
      </c>
      <c r="D269" s="44">
        <v>0</v>
      </c>
      <c r="E269" s="44">
        <v>17.2</v>
      </c>
      <c r="F269" s="1">
        <v>0</v>
      </c>
      <c r="G269" s="1">
        <v>7</v>
      </c>
      <c r="H269" s="44">
        <v>3.1</v>
      </c>
      <c r="I269" s="44">
        <v>0</v>
      </c>
      <c r="J269" s="44">
        <v>0.05</v>
      </c>
      <c r="K269" s="44">
        <v>0</v>
      </c>
      <c r="L269" s="44">
        <v>0.15461346633416459</v>
      </c>
      <c r="M269" s="44">
        <v>0</v>
      </c>
      <c r="N269" s="44">
        <v>2.4937655860349127E-3</v>
      </c>
      <c r="O269" s="44">
        <v>0</v>
      </c>
      <c r="P269" s="50">
        <v>4.1431347263915326</v>
      </c>
      <c r="Q269" s="50">
        <v>0</v>
      </c>
      <c r="R269" s="50">
        <v>0.69314718055994529</v>
      </c>
      <c r="S269" s="50">
        <v>0</v>
      </c>
    </row>
    <row r="270" spans="1:19" x14ac:dyDescent="0.25">
      <c r="A270" s="44">
        <v>2016</v>
      </c>
      <c r="B270" s="44">
        <v>0</v>
      </c>
      <c r="C270" s="6">
        <v>-82.224000000000004</v>
      </c>
      <c r="D270" s="44">
        <v>1</v>
      </c>
      <c r="E270" s="44">
        <v>20.8</v>
      </c>
      <c r="F270" s="1">
        <v>1</v>
      </c>
      <c r="G270" s="1">
        <v>18</v>
      </c>
      <c r="H270" s="44">
        <v>26.5</v>
      </c>
      <c r="I270" s="44">
        <v>4</v>
      </c>
      <c r="J270" s="44">
        <v>0.05</v>
      </c>
      <c r="K270" s="44">
        <v>10.45</v>
      </c>
      <c r="L270" s="44">
        <v>0.62870699881376035</v>
      </c>
      <c r="M270" s="44">
        <v>9.4899169632265717E-2</v>
      </c>
      <c r="N270" s="44">
        <v>1.1862396204033216E-3</v>
      </c>
      <c r="O270" s="44">
        <v>0.24792408066429419</v>
      </c>
      <c r="P270" s="50">
        <v>6.2747620212419388</v>
      </c>
      <c r="Q270" s="50">
        <v>4.3944491546724391</v>
      </c>
      <c r="R270" s="50">
        <v>0.69314718055994529</v>
      </c>
      <c r="S270" s="50">
        <v>5.3471075307174685</v>
      </c>
    </row>
    <row r="271" spans="1:19" x14ac:dyDescent="0.25">
      <c r="A271" s="44">
        <v>2016</v>
      </c>
      <c r="B271" s="44">
        <v>0</v>
      </c>
      <c r="C271" s="6">
        <v>-82.224333333333334</v>
      </c>
      <c r="D271" s="44">
        <v>1</v>
      </c>
      <c r="E271" s="44">
        <v>20.5</v>
      </c>
      <c r="F271" s="1">
        <v>0</v>
      </c>
      <c r="G271" s="1">
        <v>15</v>
      </c>
      <c r="H271" s="44">
        <v>7.75</v>
      </c>
      <c r="I271" s="44">
        <v>1.05</v>
      </c>
      <c r="J271" s="44">
        <v>0.05</v>
      </c>
      <c r="K271" s="44">
        <v>4.05</v>
      </c>
      <c r="L271" s="44">
        <v>0.57620817843866168</v>
      </c>
      <c r="M271" s="44">
        <v>7.8066914498141265E-2</v>
      </c>
      <c r="N271" s="44">
        <v>3.7174721189591076E-3</v>
      </c>
      <c r="O271" s="44">
        <v>0.30111524163568776</v>
      </c>
      <c r="P271" s="50">
        <v>5.0498560072495371</v>
      </c>
      <c r="Q271" s="50">
        <v>3.0910424533583161</v>
      </c>
      <c r="R271" s="50">
        <v>0.69314718055994529</v>
      </c>
      <c r="S271" s="50">
        <v>4.4067192472642533</v>
      </c>
    </row>
    <row r="272" spans="1:19" x14ac:dyDescent="0.25">
      <c r="A272" s="44">
        <v>2016</v>
      </c>
      <c r="B272" s="44">
        <v>0</v>
      </c>
      <c r="C272" s="6">
        <v>-82.224333333333334</v>
      </c>
      <c r="D272" s="44">
        <v>1</v>
      </c>
      <c r="E272" s="44">
        <v>20.5</v>
      </c>
      <c r="F272" s="1">
        <v>0</v>
      </c>
      <c r="G272" s="1">
        <v>8</v>
      </c>
      <c r="H272" s="44">
        <v>1.1000000000000001</v>
      </c>
      <c r="I272" s="44">
        <v>0</v>
      </c>
      <c r="J272" s="44">
        <v>0</v>
      </c>
      <c r="K272" s="44">
        <v>2.85</v>
      </c>
      <c r="L272" s="44">
        <v>0.10784313725490197</v>
      </c>
      <c r="M272" s="44">
        <v>0</v>
      </c>
      <c r="N272" s="44">
        <v>0</v>
      </c>
      <c r="O272" s="44">
        <v>0.27941176470588236</v>
      </c>
      <c r="P272" s="50">
        <v>3.1354942159291497</v>
      </c>
      <c r="Q272" s="50">
        <v>0</v>
      </c>
      <c r="R272" s="50">
        <v>0</v>
      </c>
      <c r="S272" s="50">
        <v>4.0604430105464191</v>
      </c>
    </row>
    <row r="273" spans="1:19" x14ac:dyDescent="0.25">
      <c r="A273" s="44">
        <v>2016</v>
      </c>
      <c r="B273" s="44">
        <v>0</v>
      </c>
      <c r="C273" s="6">
        <v>-82.163333333333327</v>
      </c>
      <c r="D273" s="44">
        <v>1</v>
      </c>
      <c r="E273" s="44">
        <v>20.8</v>
      </c>
      <c r="F273" s="21">
        <v>1</v>
      </c>
      <c r="G273" s="21">
        <v>18</v>
      </c>
      <c r="H273" s="44">
        <v>8.25</v>
      </c>
      <c r="I273" s="44">
        <v>15.45</v>
      </c>
      <c r="J273" s="44">
        <v>0</v>
      </c>
      <c r="K273" s="44">
        <v>0.55000000000000004</v>
      </c>
      <c r="L273" s="44">
        <v>0.33673469387755101</v>
      </c>
      <c r="M273" s="44">
        <v>0.6306122448979592</v>
      </c>
      <c r="N273" s="44">
        <v>0</v>
      </c>
      <c r="O273" s="44">
        <v>2.2448979591836733E-2</v>
      </c>
      <c r="P273" s="50">
        <v>5.1119877883565437</v>
      </c>
      <c r="Q273" s="50">
        <v>5.7365722974791922</v>
      </c>
      <c r="R273" s="50">
        <v>0</v>
      </c>
      <c r="S273" s="50">
        <v>2.4849066497880004</v>
      </c>
    </row>
    <row r="274" spans="1:19" x14ac:dyDescent="0.25">
      <c r="A274" s="44">
        <v>2016</v>
      </c>
      <c r="B274" s="44">
        <v>0</v>
      </c>
      <c r="C274" s="6">
        <v>-82.172166666666669</v>
      </c>
      <c r="D274" s="44">
        <v>1</v>
      </c>
      <c r="E274" s="44">
        <v>20.7</v>
      </c>
      <c r="F274" s="1">
        <v>0</v>
      </c>
      <c r="G274" s="1">
        <v>15</v>
      </c>
      <c r="H274" s="44">
        <v>16.149999999999999</v>
      </c>
      <c r="I274" s="44">
        <v>0.05</v>
      </c>
      <c r="J274" s="44">
        <v>0</v>
      </c>
      <c r="K274" s="44">
        <v>1.85</v>
      </c>
      <c r="L274" s="44">
        <v>0.88980716253443526</v>
      </c>
      <c r="M274" s="44">
        <v>2.7548209366391185E-3</v>
      </c>
      <c r="N274" s="44">
        <v>0</v>
      </c>
      <c r="O274" s="44">
        <v>0.10192837465564739</v>
      </c>
      <c r="P274" s="50">
        <v>5.780743515792329</v>
      </c>
      <c r="Q274" s="50">
        <v>0.69314718055994529</v>
      </c>
      <c r="R274" s="50">
        <v>0</v>
      </c>
      <c r="S274" s="50">
        <v>3.6375861597263857</v>
      </c>
    </row>
    <row r="275" spans="1:19" x14ac:dyDescent="0.25">
      <c r="A275" s="44">
        <v>2016</v>
      </c>
      <c r="B275" s="44">
        <v>0</v>
      </c>
      <c r="C275" s="6">
        <v>-82.164333333333332</v>
      </c>
      <c r="D275" s="44">
        <v>1</v>
      </c>
      <c r="E275" s="44">
        <v>20.9</v>
      </c>
      <c r="F275" s="1">
        <v>0</v>
      </c>
      <c r="G275" s="1">
        <v>8</v>
      </c>
      <c r="H275" s="44">
        <v>4.2</v>
      </c>
      <c r="I275" s="44">
        <v>0</v>
      </c>
      <c r="J275" s="44">
        <v>0</v>
      </c>
      <c r="K275" s="44">
        <v>0.25</v>
      </c>
      <c r="L275" s="44">
        <v>0.9438202247191011</v>
      </c>
      <c r="M275" s="44">
        <v>0</v>
      </c>
      <c r="N275" s="44">
        <v>0</v>
      </c>
      <c r="O275" s="44">
        <v>5.6179775280898875E-2</v>
      </c>
      <c r="P275" s="50">
        <v>4.4426512564903167</v>
      </c>
      <c r="Q275" s="50">
        <v>0</v>
      </c>
      <c r="R275" s="50">
        <v>0</v>
      </c>
      <c r="S275" s="50">
        <v>1.791759469228055</v>
      </c>
    </row>
    <row r="276" spans="1:19" x14ac:dyDescent="0.25">
      <c r="A276" s="44">
        <v>2017</v>
      </c>
      <c r="B276" s="44">
        <v>1</v>
      </c>
      <c r="C276" s="6">
        <v>-81.107879999999994</v>
      </c>
      <c r="D276" s="44">
        <v>1</v>
      </c>
      <c r="E276" s="44">
        <v>22</v>
      </c>
      <c r="F276" s="1">
        <v>1</v>
      </c>
      <c r="G276" s="1">
        <v>14</v>
      </c>
      <c r="H276" s="44">
        <v>1.1499999999999999</v>
      </c>
      <c r="I276" s="44">
        <v>0</v>
      </c>
      <c r="J276" s="44">
        <v>0</v>
      </c>
      <c r="K276" s="44">
        <v>0.35</v>
      </c>
      <c r="L276" s="44">
        <v>0.69696969696969702</v>
      </c>
      <c r="M276" s="44">
        <v>0</v>
      </c>
      <c r="N276" s="44">
        <v>0</v>
      </c>
      <c r="O276" s="44">
        <v>0.21212121212121213</v>
      </c>
      <c r="P276" s="50">
        <v>3.1780538303479458</v>
      </c>
      <c r="Q276" s="50">
        <v>0</v>
      </c>
      <c r="R276" s="50">
        <v>0</v>
      </c>
      <c r="S276" s="50">
        <v>2.0794415416798357</v>
      </c>
    </row>
    <row r="277" spans="1:19" x14ac:dyDescent="0.25">
      <c r="A277" s="44">
        <v>2017</v>
      </c>
      <c r="B277" s="44">
        <v>1</v>
      </c>
      <c r="C277" s="6">
        <v>-81.070149999999998</v>
      </c>
      <c r="D277" s="44">
        <v>1</v>
      </c>
      <c r="E277" s="44">
        <v>22</v>
      </c>
      <c r="F277" s="1">
        <v>1</v>
      </c>
      <c r="G277" s="1">
        <v>13.4</v>
      </c>
      <c r="H277" s="44">
        <v>0.85</v>
      </c>
      <c r="I277" s="44">
        <v>0</v>
      </c>
      <c r="J277" s="44">
        <v>0</v>
      </c>
      <c r="K277" s="44">
        <v>0.15</v>
      </c>
      <c r="L277" s="44">
        <v>0.68</v>
      </c>
      <c r="M277" s="44">
        <v>0</v>
      </c>
      <c r="N277" s="44">
        <v>0</v>
      </c>
      <c r="O277" s="44">
        <v>0.12</v>
      </c>
      <c r="P277" s="50">
        <v>2.8903717578961645</v>
      </c>
      <c r="Q277" s="50">
        <v>0</v>
      </c>
      <c r="R277" s="50">
        <v>0</v>
      </c>
      <c r="S277" s="50">
        <v>1.3862943611198906</v>
      </c>
    </row>
    <row r="278" spans="1:19" x14ac:dyDescent="0.25">
      <c r="A278" s="44">
        <v>2017</v>
      </c>
      <c r="B278" s="44">
        <v>1</v>
      </c>
      <c r="C278" s="6">
        <v>-81.037120000000002</v>
      </c>
      <c r="D278" s="44">
        <v>1</v>
      </c>
      <c r="E278" s="44">
        <v>22</v>
      </c>
      <c r="F278" s="1">
        <v>0</v>
      </c>
      <c r="G278" s="1">
        <v>9.4</v>
      </c>
      <c r="H278" s="44">
        <v>1</v>
      </c>
      <c r="I278" s="44">
        <v>0</v>
      </c>
      <c r="J278" s="44">
        <v>0</v>
      </c>
      <c r="K278" s="44">
        <v>0</v>
      </c>
      <c r="L278" s="44">
        <v>0.90909090909090906</v>
      </c>
      <c r="M278" s="44">
        <v>0</v>
      </c>
      <c r="N278" s="44">
        <v>0</v>
      </c>
      <c r="O278" s="44">
        <v>0</v>
      </c>
      <c r="P278" s="50">
        <v>3.044522437723423</v>
      </c>
      <c r="Q278" s="50">
        <v>0</v>
      </c>
      <c r="R278" s="50">
        <v>0</v>
      </c>
      <c r="S278" s="50">
        <v>0</v>
      </c>
    </row>
    <row r="279" spans="1:19" x14ac:dyDescent="0.25">
      <c r="A279" s="44">
        <v>2017</v>
      </c>
      <c r="B279" s="44">
        <v>0</v>
      </c>
      <c r="C279" s="6">
        <v>-81.871920000000003</v>
      </c>
      <c r="D279" s="44">
        <v>1</v>
      </c>
      <c r="E279" s="44">
        <v>22</v>
      </c>
      <c r="F279" s="1">
        <v>0</v>
      </c>
      <c r="G279" s="1">
        <v>9.1</v>
      </c>
      <c r="H279" s="44">
        <v>0</v>
      </c>
      <c r="I279" s="44">
        <v>0</v>
      </c>
      <c r="J279" s="44">
        <v>0</v>
      </c>
      <c r="K279" s="44">
        <v>0</v>
      </c>
      <c r="L279" s="44">
        <v>0</v>
      </c>
      <c r="M279" s="44">
        <v>0</v>
      </c>
      <c r="N279" s="44">
        <v>0</v>
      </c>
      <c r="O279" s="44">
        <v>0</v>
      </c>
      <c r="P279" s="50">
        <v>0</v>
      </c>
      <c r="Q279" s="50">
        <v>0</v>
      </c>
      <c r="R279" s="50">
        <v>0</v>
      </c>
      <c r="S279" s="50">
        <v>0</v>
      </c>
    </row>
    <row r="280" spans="1:19" x14ac:dyDescent="0.25">
      <c r="A280" s="44">
        <v>2017</v>
      </c>
      <c r="B280" s="44">
        <v>0</v>
      </c>
      <c r="C280" s="6">
        <v>-81.843029999999999</v>
      </c>
      <c r="D280" s="44">
        <v>1</v>
      </c>
      <c r="E280" s="44">
        <v>22</v>
      </c>
      <c r="F280" s="1">
        <v>1</v>
      </c>
      <c r="G280" s="1">
        <v>14.6</v>
      </c>
      <c r="H280" s="44">
        <v>0.55000000000000004</v>
      </c>
      <c r="I280" s="44">
        <v>0</v>
      </c>
      <c r="J280" s="44">
        <v>0</v>
      </c>
      <c r="K280" s="44">
        <v>1.35</v>
      </c>
      <c r="L280" s="44">
        <v>4.2145593869731802E-2</v>
      </c>
      <c r="M280" s="44">
        <v>0</v>
      </c>
      <c r="N280" s="44">
        <v>0</v>
      </c>
      <c r="O280" s="44">
        <v>0.10344827586206896</v>
      </c>
      <c r="P280" s="50">
        <v>2.4849066497880004</v>
      </c>
      <c r="Q280" s="50">
        <v>0</v>
      </c>
      <c r="R280" s="50">
        <v>0</v>
      </c>
      <c r="S280" s="50">
        <v>3.3322045101752038</v>
      </c>
    </row>
    <row r="281" spans="1:19" x14ac:dyDescent="0.25">
      <c r="A281" s="44">
        <v>2017</v>
      </c>
      <c r="B281" s="44">
        <v>0</v>
      </c>
      <c r="C281" s="6">
        <v>-81.808940000000007</v>
      </c>
      <c r="D281" s="44">
        <v>1</v>
      </c>
      <c r="E281" s="44">
        <v>21</v>
      </c>
      <c r="F281" s="1">
        <v>0</v>
      </c>
      <c r="G281" s="1">
        <v>7.3</v>
      </c>
      <c r="H281" s="44">
        <v>3.6</v>
      </c>
      <c r="I281" s="44">
        <v>0</v>
      </c>
      <c r="J281" s="44">
        <v>0</v>
      </c>
      <c r="K281" s="44">
        <v>0.2</v>
      </c>
      <c r="L281" s="44">
        <v>0.79120879120879117</v>
      </c>
      <c r="M281" s="44">
        <v>0</v>
      </c>
      <c r="N281" s="44">
        <v>0</v>
      </c>
      <c r="O281" s="44">
        <v>4.3956043956043959E-2</v>
      </c>
      <c r="P281" s="50">
        <v>4.290459441148391</v>
      </c>
      <c r="Q281" s="50">
        <v>0</v>
      </c>
      <c r="R281" s="50">
        <v>0</v>
      </c>
      <c r="S281" s="50">
        <v>1.6094379124341003</v>
      </c>
    </row>
    <row r="282" spans="1:19" x14ac:dyDescent="0.25">
      <c r="A282" s="44">
        <v>2017</v>
      </c>
      <c r="B282" s="44">
        <v>1</v>
      </c>
      <c r="C282" s="6">
        <v>-81.49248</v>
      </c>
      <c r="D282" s="44">
        <v>1</v>
      </c>
      <c r="E282" s="44">
        <v>22</v>
      </c>
      <c r="F282" s="1">
        <v>1</v>
      </c>
      <c r="G282" s="1">
        <v>14.3</v>
      </c>
      <c r="H282" s="44">
        <v>28.3</v>
      </c>
      <c r="I282" s="44">
        <v>23.75</v>
      </c>
      <c r="J282" s="44">
        <v>0</v>
      </c>
      <c r="K282" s="44">
        <v>5.2</v>
      </c>
      <c r="L282" s="44">
        <v>0.48877374784110533</v>
      </c>
      <c r="M282" s="44">
        <v>0.41018998272884283</v>
      </c>
      <c r="N282" s="44">
        <v>0</v>
      </c>
      <c r="O282" s="44">
        <v>8.9810017271157172E-2</v>
      </c>
      <c r="P282" s="50">
        <v>6.3403593037277517</v>
      </c>
      <c r="Q282" s="50">
        <v>6.1654178542314204</v>
      </c>
      <c r="R282" s="50">
        <v>0</v>
      </c>
      <c r="S282" s="50">
        <v>4.6539603501575231</v>
      </c>
    </row>
    <row r="283" spans="1:19" x14ac:dyDescent="0.25">
      <c r="A283" s="44">
        <v>2017</v>
      </c>
      <c r="B283" s="44">
        <v>1</v>
      </c>
      <c r="C283" s="6">
        <v>-81.461010000000002</v>
      </c>
      <c r="D283" s="44">
        <v>1</v>
      </c>
      <c r="E283" s="44">
        <v>22</v>
      </c>
      <c r="F283" s="21">
        <v>0</v>
      </c>
      <c r="G283" s="21">
        <v>10.7</v>
      </c>
      <c r="H283" s="44">
        <v>0.8</v>
      </c>
      <c r="I283" s="44">
        <v>0</v>
      </c>
      <c r="J283" s="44">
        <v>0</v>
      </c>
      <c r="K283" s="44">
        <v>0</v>
      </c>
      <c r="L283" s="44">
        <v>0.32</v>
      </c>
      <c r="M283" s="44">
        <v>0</v>
      </c>
      <c r="N283" s="44">
        <v>0</v>
      </c>
      <c r="O283" s="44">
        <v>0</v>
      </c>
      <c r="P283" s="50">
        <v>2.8332133440562162</v>
      </c>
      <c r="Q283" s="50">
        <v>0</v>
      </c>
      <c r="R283" s="50">
        <v>0</v>
      </c>
      <c r="S283" s="50">
        <v>0</v>
      </c>
    </row>
    <row r="284" spans="1:19" x14ac:dyDescent="0.25">
      <c r="A284" s="44">
        <v>2017</v>
      </c>
      <c r="B284" s="44">
        <v>1</v>
      </c>
      <c r="C284" s="6">
        <v>-81.438280000000006</v>
      </c>
      <c r="D284" s="44">
        <v>1</v>
      </c>
      <c r="E284" s="44">
        <v>21</v>
      </c>
      <c r="F284" s="1">
        <v>0</v>
      </c>
      <c r="G284" s="1">
        <v>7.3</v>
      </c>
      <c r="H284" s="44">
        <v>0.45</v>
      </c>
      <c r="I284" s="44">
        <v>0</v>
      </c>
      <c r="J284" s="44">
        <v>0</v>
      </c>
      <c r="K284" s="44">
        <v>0.05</v>
      </c>
      <c r="L284" s="44">
        <v>0.47368421052631576</v>
      </c>
      <c r="M284" s="44">
        <v>0</v>
      </c>
      <c r="N284" s="44">
        <v>0</v>
      </c>
      <c r="O284" s="44">
        <v>5.2631578947368418E-2</v>
      </c>
      <c r="P284" s="50">
        <v>2.3025850929940459</v>
      </c>
      <c r="Q284" s="50">
        <v>0</v>
      </c>
      <c r="R284" s="50">
        <v>0</v>
      </c>
      <c r="S284" s="50">
        <v>0.69314718055994529</v>
      </c>
    </row>
    <row r="285" spans="1:19" x14ac:dyDescent="0.25">
      <c r="A285" s="44">
        <v>2017</v>
      </c>
      <c r="B285" s="44">
        <v>1</v>
      </c>
      <c r="C285" s="6">
        <v>-80.914666666666662</v>
      </c>
      <c r="D285" s="44">
        <v>1</v>
      </c>
      <c r="E285" s="44">
        <v>20.8</v>
      </c>
      <c r="F285" s="47">
        <v>1</v>
      </c>
      <c r="G285" s="1">
        <v>19</v>
      </c>
      <c r="H285" s="44">
        <v>10.85</v>
      </c>
      <c r="I285" s="44">
        <v>1.75</v>
      </c>
      <c r="J285" s="44">
        <v>0</v>
      </c>
      <c r="K285" s="44">
        <v>0.95</v>
      </c>
      <c r="L285" s="44">
        <v>0.79197080291970801</v>
      </c>
      <c r="M285" s="44">
        <v>0.12773722627737227</v>
      </c>
      <c r="N285" s="44">
        <v>0</v>
      </c>
      <c r="O285" s="44">
        <v>6.9343065693430656E-2</v>
      </c>
      <c r="P285" s="50">
        <v>5.3844950627890888</v>
      </c>
      <c r="Q285" s="50">
        <v>3.5835189384561099</v>
      </c>
      <c r="R285" s="50">
        <v>0</v>
      </c>
      <c r="S285" s="50">
        <v>2.9957322735539909</v>
      </c>
    </row>
    <row r="286" spans="1:19" x14ac:dyDescent="0.25">
      <c r="A286" s="44">
        <v>2017</v>
      </c>
      <c r="B286" s="44">
        <v>1</v>
      </c>
      <c r="C286" s="6">
        <v>-80.894833333333338</v>
      </c>
      <c r="D286" s="44">
        <v>1</v>
      </c>
      <c r="E286" s="44">
        <v>20.9</v>
      </c>
      <c r="F286" s="47">
        <v>1</v>
      </c>
      <c r="G286" s="1">
        <v>18</v>
      </c>
      <c r="H286" s="44">
        <v>46.75</v>
      </c>
      <c r="I286" s="44">
        <v>1.5</v>
      </c>
      <c r="J286" s="44">
        <v>0</v>
      </c>
      <c r="K286" s="44">
        <v>3.85</v>
      </c>
      <c r="L286" s="44">
        <v>0.89047619047619042</v>
      </c>
      <c r="M286" s="44">
        <v>2.8571428571428571E-2</v>
      </c>
      <c r="N286" s="44">
        <v>0</v>
      </c>
      <c r="O286" s="44">
        <v>7.3333333333333334E-2</v>
      </c>
      <c r="P286" s="50">
        <v>6.8416154764775916</v>
      </c>
      <c r="Q286" s="50">
        <v>3.4339872044851463</v>
      </c>
      <c r="R286" s="50">
        <v>0</v>
      </c>
      <c r="S286" s="50">
        <v>4.3567088266895917</v>
      </c>
    </row>
    <row r="287" spans="1:19" x14ac:dyDescent="0.25">
      <c r="A287" s="44">
        <v>2017</v>
      </c>
      <c r="B287" s="44">
        <v>1</v>
      </c>
      <c r="C287" s="6">
        <v>-80.911833333333334</v>
      </c>
      <c r="D287" s="44">
        <v>1</v>
      </c>
      <c r="E287" s="44">
        <v>20.7</v>
      </c>
      <c r="F287" s="1">
        <v>1</v>
      </c>
      <c r="G287" s="1">
        <v>17</v>
      </c>
      <c r="H287" s="44">
        <v>64.849999999999994</v>
      </c>
      <c r="I287" s="44">
        <v>1.05</v>
      </c>
      <c r="J287" s="44">
        <v>0</v>
      </c>
      <c r="K287" s="44">
        <v>2.4500000000000002</v>
      </c>
      <c r="L287" s="44">
        <v>0.94464675892206851</v>
      </c>
      <c r="M287" s="44">
        <v>1.529497450837582E-2</v>
      </c>
      <c r="N287" s="44">
        <v>0</v>
      </c>
      <c r="O287" s="44">
        <v>3.5688273852876914E-2</v>
      </c>
      <c r="P287" s="50">
        <v>7.1685798972640349</v>
      </c>
      <c r="Q287" s="50">
        <v>3.0910424533583161</v>
      </c>
      <c r="R287" s="50">
        <v>0</v>
      </c>
      <c r="S287" s="50">
        <v>3.912023005428146</v>
      </c>
    </row>
    <row r="288" spans="1:19" x14ac:dyDescent="0.25">
      <c r="A288" s="44">
        <v>2017</v>
      </c>
      <c r="B288" s="44">
        <v>1</v>
      </c>
      <c r="C288" s="6">
        <v>-80.889499999999998</v>
      </c>
      <c r="D288" s="44">
        <v>1</v>
      </c>
      <c r="E288" s="44">
        <v>20.8</v>
      </c>
      <c r="F288" s="1">
        <v>0</v>
      </c>
      <c r="G288" s="1">
        <v>7</v>
      </c>
      <c r="H288" s="44">
        <v>15</v>
      </c>
      <c r="I288" s="44">
        <v>0</v>
      </c>
      <c r="J288" s="44">
        <v>0</v>
      </c>
      <c r="K288" s="44">
        <v>0.45</v>
      </c>
      <c r="L288" s="44">
        <v>0.92879256965944268</v>
      </c>
      <c r="M288" s="44">
        <v>0</v>
      </c>
      <c r="N288" s="44">
        <v>0</v>
      </c>
      <c r="O288" s="44">
        <v>2.7863777089783281E-2</v>
      </c>
      <c r="P288" s="50">
        <v>5.7071102647488754</v>
      </c>
      <c r="Q288" s="50">
        <v>0</v>
      </c>
      <c r="R288" s="50">
        <v>0</v>
      </c>
      <c r="S288" s="50">
        <v>2.3025850929940459</v>
      </c>
    </row>
    <row r="289" spans="1:19" x14ac:dyDescent="0.25">
      <c r="A289" s="44">
        <v>2017</v>
      </c>
      <c r="B289" s="44">
        <v>1</v>
      </c>
      <c r="C289" s="6">
        <v>-80.978666666666669</v>
      </c>
      <c r="D289" s="44">
        <v>0</v>
      </c>
      <c r="E289" s="44">
        <v>18.399999999999999</v>
      </c>
      <c r="F289" s="1">
        <v>1</v>
      </c>
      <c r="G289" s="1">
        <v>14</v>
      </c>
      <c r="H289" s="44">
        <v>11.65</v>
      </c>
      <c r="I289" s="44">
        <v>3.7</v>
      </c>
      <c r="J289" s="44">
        <v>0</v>
      </c>
      <c r="K289" s="44">
        <v>0.25</v>
      </c>
      <c r="L289" s="44">
        <v>0.73734177215189878</v>
      </c>
      <c r="M289" s="44">
        <v>0.23417721518987342</v>
      </c>
      <c r="N289" s="44">
        <v>0</v>
      </c>
      <c r="O289" s="44">
        <v>1.5822784810126583E-2</v>
      </c>
      <c r="P289" s="50">
        <v>5.4553211153577017</v>
      </c>
      <c r="Q289" s="50">
        <v>4.3174881135363101</v>
      </c>
      <c r="R289" s="50">
        <v>0</v>
      </c>
      <c r="S289" s="50">
        <v>1.791759469228055</v>
      </c>
    </row>
    <row r="290" spans="1:19" x14ac:dyDescent="0.25">
      <c r="A290" s="44">
        <v>2017</v>
      </c>
      <c r="B290" s="44">
        <v>1</v>
      </c>
      <c r="C290" s="6">
        <v>-80.968666666666664</v>
      </c>
      <c r="D290" s="44">
        <v>0</v>
      </c>
      <c r="E290" s="44">
        <v>18.8</v>
      </c>
      <c r="F290" s="1">
        <v>0</v>
      </c>
      <c r="G290" s="1">
        <v>12</v>
      </c>
      <c r="H290" s="44">
        <v>32.200000000000003</v>
      </c>
      <c r="I290" s="44">
        <v>0.4</v>
      </c>
      <c r="J290" s="44">
        <v>0</v>
      </c>
      <c r="K290" s="44">
        <v>0.3</v>
      </c>
      <c r="L290" s="44">
        <v>0.96696696696696693</v>
      </c>
      <c r="M290" s="44">
        <v>1.2012012012012012E-2</v>
      </c>
      <c r="N290" s="44">
        <v>0</v>
      </c>
      <c r="O290" s="44">
        <v>9.0090090090090089E-3</v>
      </c>
      <c r="P290" s="50">
        <v>6.4692503167957724</v>
      </c>
      <c r="Q290" s="50">
        <v>2.1972245773362196</v>
      </c>
      <c r="R290" s="50">
        <v>0</v>
      </c>
      <c r="S290" s="50">
        <v>1.9459101490553132</v>
      </c>
    </row>
    <row r="291" spans="1:19" x14ac:dyDescent="0.25">
      <c r="A291" s="44">
        <v>2017</v>
      </c>
      <c r="B291" s="44">
        <v>1</v>
      </c>
      <c r="C291" s="6">
        <v>-80.974666666666664</v>
      </c>
      <c r="D291" s="44">
        <v>0</v>
      </c>
      <c r="E291" s="44">
        <v>18.2</v>
      </c>
      <c r="F291" s="1">
        <v>0</v>
      </c>
      <c r="G291" s="1">
        <v>10</v>
      </c>
      <c r="H291" s="44">
        <v>33.450000000000003</v>
      </c>
      <c r="I291" s="44">
        <v>0.1</v>
      </c>
      <c r="J291" s="44">
        <v>0</v>
      </c>
      <c r="K291" s="44">
        <v>0.25</v>
      </c>
      <c r="L291" s="44">
        <v>0.98382352941176465</v>
      </c>
      <c r="M291" s="44">
        <v>2.9411764705882353E-3</v>
      </c>
      <c r="N291" s="44">
        <v>0</v>
      </c>
      <c r="O291" s="44">
        <v>7.3529411764705881E-3</v>
      </c>
      <c r="P291" s="50">
        <v>6.5072777123850116</v>
      </c>
      <c r="Q291" s="50">
        <v>1.0986122886681098</v>
      </c>
      <c r="R291" s="50">
        <v>0</v>
      </c>
      <c r="S291" s="50">
        <v>1.791759469228055</v>
      </c>
    </row>
    <row r="292" spans="1:19" x14ac:dyDescent="0.25">
      <c r="A292" s="44">
        <v>2017</v>
      </c>
      <c r="B292" s="44">
        <v>1</v>
      </c>
      <c r="C292" s="6">
        <v>-81.007499999999993</v>
      </c>
      <c r="D292" s="44">
        <v>0</v>
      </c>
      <c r="E292" s="44">
        <v>13.2</v>
      </c>
      <c r="F292" s="1">
        <v>0</v>
      </c>
      <c r="G292" s="1">
        <v>8</v>
      </c>
      <c r="H292" s="44">
        <v>27.3</v>
      </c>
      <c r="I292" s="44">
        <v>2</v>
      </c>
      <c r="J292" s="44">
        <v>0</v>
      </c>
      <c r="K292" s="44">
        <v>0.1</v>
      </c>
      <c r="L292" s="44">
        <v>0.91764705882352937</v>
      </c>
      <c r="M292" s="44">
        <v>6.7226890756302518E-2</v>
      </c>
      <c r="N292" s="44">
        <v>0</v>
      </c>
      <c r="O292" s="44">
        <v>3.3613445378151263E-3</v>
      </c>
      <c r="P292" s="50">
        <v>6.3044488024219811</v>
      </c>
      <c r="Q292" s="50">
        <v>3.713572066704308</v>
      </c>
      <c r="R292" s="50">
        <v>0</v>
      </c>
      <c r="S292" s="50">
        <v>1.0986122886681098</v>
      </c>
    </row>
    <row r="293" spans="1:19" x14ac:dyDescent="0.25">
      <c r="A293" s="44">
        <v>2017</v>
      </c>
      <c r="B293" s="44">
        <v>1</v>
      </c>
      <c r="C293" s="6">
        <v>-80.99933333333334</v>
      </c>
      <c r="D293" s="44">
        <v>0</v>
      </c>
      <c r="E293" s="44">
        <v>15.2</v>
      </c>
      <c r="F293" s="1">
        <v>0</v>
      </c>
      <c r="G293" s="1">
        <v>5</v>
      </c>
      <c r="H293" s="44">
        <v>17</v>
      </c>
      <c r="I293" s="44">
        <v>0</v>
      </c>
      <c r="J293" s="44">
        <v>0</v>
      </c>
      <c r="K293" s="44">
        <v>0.25</v>
      </c>
      <c r="L293" s="44">
        <v>0.97982708933717577</v>
      </c>
      <c r="M293" s="44">
        <v>0</v>
      </c>
      <c r="N293" s="44">
        <v>0</v>
      </c>
      <c r="O293" s="44">
        <v>1.4409221902017291E-2</v>
      </c>
      <c r="P293" s="50">
        <v>5.8318824772835169</v>
      </c>
      <c r="Q293" s="50">
        <v>0</v>
      </c>
      <c r="R293" s="50">
        <v>0</v>
      </c>
      <c r="S293" s="50">
        <v>1.791759469228055</v>
      </c>
    </row>
    <row r="294" spans="1:19" x14ac:dyDescent="0.25">
      <c r="A294" s="44">
        <v>2017</v>
      </c>
      <c r="B294" s="44">
        <v>1</v>
      </c>
      <c r="C294" s="6">
        <v>-81.469666666666669</v>
      </c>
      <c r="D294" s="44">
        <v>0</v>
      </c>
      <c r="E294" s="44">
        <v>12.5</v>
      </c>
      <c r="F294" s="1">
        <v>0</v>
      </c>
      <c r="G294" s="1">
        <v>8</v>
      </c>
      <c r="H294" s="44">
        <v>8</v>
      </c>
      <c r="I294" s="44">
        <v>1.55</v>
      </c>
      <c r="J294" s="44">
        <v>0</v>
      </c>
      <c r="K294" s="44">
        <v>0.2</v>
      </c>
      <c r="L294" s="44">
        <v>0.79601990049751248</v>
      </c>
      <c r="M294" s="44">
        <v>0.15422885572139303</v>
      </c>
      <c r="N294" s="44">
        <v>0</v>
      </c>
      <c r="O294" s="44">
        <v>1.9900497512437811E-2</v>
      </c>
      <c r="P294" s="50">
        <v>5.0814043649844631</v>
      </c>
      <c r="Q294" s="50">
        <v>3.4657359027997265</v>
      </c>
      <c r="R294" s="50">
        <v>0</v>
      </c>
      <c r="S294" s="50">
        <v>1.6094379124341003</v>
      </c>
    </row>
    <row r="295" spans="1:19" x14ac:dyDescent="0.25">
      <c r="A295" s="44">
        <v>2017</v>
      </c>
      <c r="B295" s="44">
        <v>1</v>
      </c>
      <c r="C295" s="6">
        <v>-81.459333333333333</v>
      </c>
      <c r="D295" s="44">
        <v>0</v>
      </c>
      <c r="E295" s="44">
        <v>15.4</v>
      </c>
      <c r="F295" s="1">
        <v>0</v>
      </c>
      <c r="G295" s="1">
        <v>5</v>
      </c>
      <c r="H295" s="44">
        <v>11.05</v>
      </c>
      <c r="I295" s="44">
        <v>0.1</v>
      </c>
      <c r="J295" s="44">
        <v>0</v>
      </c>
      <c r="K295" s="44">
        <v>0.05</v>
      </c>
      <c r="L295" s="44">
        <v>0.96506550218340614</v>
      </c>
      <c r="M295" s="44">
        <v>8.7336244541484712E-3</v>
      </c>
      <c r="N295" s="44">
        <v>0</v>
      </c>
      <c r="O295" s="44">
        <v>4.3668122270742356E-3</v>
      </c>
      <c r="P295" s="50">
        <v>5.4026773818722793</v>
      </c>
      <c r="Q295" s="50">
        <v>1.0986122886681098</v>
      </c>
      <c r="R295" s="50">
        <v>0</v>
      </c>
      <c r="S295" s="50">
        <v>0.69314718055994529</v>
      </c>
    </row>
    <row r="296" spans="1:19" x14ac:dyDescent="0.25">
      <c r="A296" s="44">
        <v>2017</v>
      </c>
      <c r="B296" s="44">
        <v>1</v>
      </c>
      <c r="C296" s="6">
        <v>-81.430666666666667</v>
      </c>
      <c r="D296" s="44">
        <v>1</v>
      </c>
      <c r="E296" s="44">
        <v>20.399999999999999</v>
      </c>
      <c r="F296" s="1">
        <v>0</v>
      </c>
      <c r="G296" s="1">
        <v>13</v>
      </c>
      <c r="H296" s="44">
        <v>45.2</v>
      </c>
      <c r="I296" s="44">
        <v>0.85</v>
      </c>
      <c r="J296" s="44">
        <v>0</v>
      </c>
      <c r="K296" s="44">
        <v>1.1000000000000001</v>
      </c>
      <c r="L296" s="44">
        <v>0.95057833859095686</v>
      </c>
      <c r="M296" s="44">
        <v>1.7875920084121977E-2</v>
      </c>
      <c r="N296" s="44">
        <v>0</v>
      </c>
      <c r="O296" s="44">
        <v>2.3133543638275498E-2</v>
      </c>
      <c r="P296" s="50">
        <v>6.8079349436999257</v>
      </c>
      <c r="Q296" s="50">
        <v>2.8903717578961645</v>
      </c>
      <c r="R296" s="50">
        <v>0</v>
      </c>
      <c r="S296" s="50">
        <v>3.1354942159291497</v>
      </c>
    </row>
    <row r="297" spans="1:19" x14ac:dyDescent="0.25">
      <c r="A297" s="44">
        <v>2017</v>
      </c>
      <c r="B297" s="44">
        <v>1</v>
      </c>
      <c r="C297" s="6">
        <v>-81.430166666666665</v>
      </c>
      <c r="D297" s="44">
        <v>1</v>
      </c>
      <c r="E297" s="44">
        <v>20.6</v>
      </c>
      <c r="F297" s="1">
        <v>0</v>
      </c>
      <c r="G297" s="1">
        <v>10</v>
      </c>
      <c r="H297" s="44">
        <v>63.2</v>
      </c>
      <c r="I297" s="44">
        <v>0.05</v>
      </c>
      <c r="J297" s="44">
        <v>0</v>
      </c>
      <c r="K297" s="44">
        <v>0.4</v>
      </c>
      <c r="L297" s="44">
        <v>0.97230769230769232</v>
      </c>
      <c r="M297" s="44">
        <v>7.6923076923076923E-4</v>
      </c>
      <c r="N297" s="44">
        <v>0</v>
      </c>
      <c r="O297" s="44">
        <v>6.1538461538461538E-3</v>
      </c>
      <c r="P297" s="50">
        <v>7.1428274011616208</v>
      </c>
      <c r="Q297" s="50">
        <v>0.69314718055994529</v>
      </c>
      <c r="R297" s="50">
        <v>0</v>
      </c>
      <c r="S297" s="50">
        <v>2.1972245773362196</v>
      </c>
    </row>
    <row r="298" spans="1:19" x14ac:dyDescent="0.25">
      <c r="A298" s="44">
        <v>2017</v>
      </c>
      <c r="B298" s="44">
        <v>1</v>
      </c>
      <c r="C298" s="6">
        <v>-81.436999999999998</v>
      </c>
      <c r="D298" s="44">
        <v>0</v>
      </c>
      <c r="E298" s="44">
        <v>19</v>
      </c>
      <c r="F298" s="1">
        <v>0</v>
      </c>
      <c r="G298" s="1">
        <v>5</v>
      </c>
      <c r="H298" s="44">
        <v>12.4</v>
      </c>
      <c r="I298" s="44">
        <v>0</v>
      </c>
      <c r="J298" s="44">
        <v>0</v>
      </c>
      <c r="K298" s="44">
        <v>0.05</v>
      </c>
      <c r="L298" s="44">
        <v>0.86111111111111116</v>
      </c>
      <c r="M298" s="44">
        <v>0</v>
      </c>
      <c r="N298" s="44">
        <v>0</v>
      </c>
      <c r="O298" s="44">
        <v>3.472222222222222E-3</v>
      </c>
      <c r="P298" s="50">
        <v>5.5174528964647074</v>
      </c>
      <c r="Q298" s="50">
        <v>0</v>
      </c>
      <c r="R298" s="50">
        <v>0</v>
      </c>
      <c r="S298" s="50">
        <v>0.69314718055994529</v>
      </c>
    </row>
    <row r="299" spans="1:19" x14ac:dyDescent="0.25">
      <c r="A299" s="44">
        <v>2017</v>
      </c>
      <c r="B299" s="44">
        <v>1</v>
      </c>
      <c r="C299" s="6">
        <v>-81.373166666666663</v>
      </c>
      <c r="D299" s="44">
        <v>1</v>
      </c>
      <c r="E299" s="44">
        <v>22.5</v>
      </c>
      <c r="F299" s="47">
        <v>1</v>
      </c>
      <c r="G299" s="1">
        <v>20</v>
      </c>
      <c r="H299" s="44">
        <v>34.450000000000003</v>
      </c>
      <c r="I299" s="44">
        <v>1.1499999999999999</v>
      </c>
      <c r="J299" s="44">
        <v>0</v>
      </c>
      <c r="K299" s="44">
        <v>1.75</v>
      </c>
      <c r="L299" s="44">
        <v>0.91500664010624166</v>
      </c>
      <c r="M299" s="44">
        <v>3.054448871181939E-2</v>
      </c>
      <c r="N299" s="44">
        <v>0</v>
      </c>
      <c r="O299" s="44">
        <v>4.6480743691899071E-2</v>
      </c>
      <c r="P299" s="50">
        <v>6.5366915975913047</v>
      </c>
      <c r="Q299" s="50">
        <v>3.1780538303479458</v>
      </c>
      <c r="R299" s="50">
        <v>0</v>
      </c>
      <c r="S299" s="50">
        <v>3.5835189384561099</v>
      </c>
    </row>
    <row r="300" spans="1:19" x14ac:dyDescent="0.25">
      <c r="A300" s="44">
        <v>2017</v>
      </c>
      <c r="B300" s="44">
        <v>1</v>
      </c>
      <c r="C300" s="6">
        <v>-81.367000000000004</v>
      </c>
      <c r="D300" s="44">
        <v>1</v>
      </c>
      <c r="E300" s="44">
        <v>22.5</v>
      </c>
      <c r="F300" s="1">
        <v>1</v>
      </c>
      <c r="G300" s="1">
        <v>17</v>
      </c>
      <c r="H300" s="44">
        <v>25.4</v>
      </c>
      <c r="I300" s="44">
        <v>0.05</v>
      </c>
      <c r="J300" s="44">
        <v>0</v>
      </c>
      <c r="K300" s="44">
        <v>1.7</v>
      </c>
      <c r="L300" s="44">
        <v>0.92363636363636359</v>
      </c>
      <c r="M300" s="44">
        <v>1.8181818181818182E-3</v>
      </c>
      <c r="N300" s="44">
        <v>0</v>
      </c>
      <c r="O300" s="44">
        <v>6.1818181818181821E-2</v>
      </c>
      <c r="P300" s="50">
        <v>6.2324480165505225</v>
      </c>
      <c r="Q300" s="50">
        <v>0.69314718055994529</v>
      </c>
      <c r="R300" s="50">
        <v>0</v>
      </c>
      <c r="S300" s="50">
        <v>3.5553480614894135</v>
      </c>
    </row>
    <row r="301" spans="1:19" x14ac:dyDescent="0.25">
      <c r="A301" s="44">
        <v>2017</v>
      </c>
      <c r="B301" s="44">
        <v>1</v>
      </c>
      <c r="C301" s="6">
        <v>-81.373333333333335</v>
      </c>
      <c r="D301" s="44">
        <v>1</v>
      </c>
      <c r="E301" s="44">
        <v>22.3</v>
      </c>
      <c r="F301" s="1">
        <v>0</v>
      </c>
      <c r="G301" s="1">
        <v>10</v>
      </c>
      <c r="H301" s="44">
        <v>5.3</v>
      </c>
      <c r="I301" s="44">
        <v>0</v>
      </c>
      <c r="J301" s="44">
        <v>0</v>
      </c>
      <c r="K301" s="44">
        <v>0.1</v>
      </c>
      <c r="L301" s="44">
        <v>0.95495495495495497</v>
      </c>
      <c r="M301" s="44">
        <v>0</v>
      </c>
      <c r="N301" s="44">
        <v>0</v>
      </c>
      <c r="O301" s="44">
        <v>1.8018018018018018E-2</v>
      </c>
      <c r="P301" s="50">
        <v>4.6728288344619058</v>
      </c>
      <c r="Q301" s="50">
        <v>0</v>
      </c>
      <c r="R301" s="50">
        <v>0</v>
      </c>
      <c r="S301" s="50">
        <v>1.0986122886681098</v>
      </c>
    </row>
    <row r="302" spans="1:19" x14ac:dyDescent="0.25">
      <c r="A302" s="44">
        <v>2017</v>
      </c>
      <c r="B302" s="44">
        <v>1</v>
      </c>
      <c r="C302" s="6">
        <v>-81.367166666666662</v>
      </c>
      <c r="D302" s="44">
        <v>1</v>
      </c>
      <c r="E302" s="44">
        <v>22.5</v>
      </c>
      <c r="F302" s="1">
        <v>0</v>
      </c>
      <c r="G302" s="1">
        <v>5</v>
      </c>
      <c r="H302" s="44">
        <v>1.95</v>
      </c>
      <c r="I302" s="44">
        <v>0</v>
      </c>
      <c r="J302" s="44">
        <v>0</v>
      </c>
      <c r="K302" s="44">
        <v>0.1</v>
      </c>
      <c r="L302" s="44">
        <v>0.88636363636363635</v>
      </c>
      <c r="M302" s="44">
        <v>0</v>
      </c>
      <c r="N302" s="44">
        <v>0</v>
      </c>
      <c r="O302" s="44">
        <v>4.5454545454545456E-2</v>
      </c>
      <c r="P302" s="50">
        <v>3.6888794541139363</v>
      </c>
      <c r="Q302" s="50">
        <v>0</v>
      </c>
      <c r="R302" s="50">
        <v>0</v>
      </c>
      <c r="S302" s="50">
        <v>1.0986122886681098</v>
      </c>
    </row>
    <row r="303" spans="1:19" x14ac:dyDescent="0.25">
      <c r="A303" s="44">
        <v>2017</v>
      </c>
      <c r="B303" s="44">
        <v>0</v>
      </c>
      <c r="C303" s="6">
        <v>-81.739000000000004</v>
      </c>
      <c r="D303" s="44">
        <v>1</v>
      </c>
      <c r="E303" s="44">
        <v>24.3</v>
      </c>
      <c r="F303" s="47">
        <v>1</v>
      </c>
      <c r="G303" s="1">
        <v>20</v>
      </c>
      <c r="H303" s="44">
        <v>0.65</v>
      </c>
      <c r="I303" s="44">
        <v>41.45</v>
      </c>
      <c r="J303" s="44">
        <v>0</v>
      </c>
      <c r="K303" s="44">
        <v>0.75</v>
      </c>
      <c r="L303" s="44">
        <v>1.4806378132118452E-2</v>
      </c>
      <c r="M303" s="44">
        <v>0.94419134396355353</v>
      </c>
      <c r="N303" s="44">
        <v>0</v>
      </c>
      <c r="O303" s="44">
        <v>1.7084282460136675E-2</v>
      </c>
      <c r="P303" s="50">
        <v>2.6390573296152584</v>
      </c>
      <c r="Q303" s="50">
        <v>6.7214257007906433</v>
      </c>
      <c r="R303" s="50">
        <v>0</v>
      </c>
      <c r="S303" s="50">
        <v>2.7725887222397811</v>
      </c>
    </row>
    <row r="304" spans="1:19" x14ac:dyDescent="0.25">
      <c r="A304" s="44">
        <v>2017</v>
      </c>
      <c r="B304" s="44">
        <v>0</v>
      </c>
      <c r="C304" s="6">
        <v>-81.73</v>
      </c>
      <c r="D304" s="44">
        <v>1</v>
      </c>
      <c r="E304" s="44">
        <v>24.4</v>
      </c>
      <c r="F304" s="1">
        <v>1</v>
      </c>
      <c r="G304" s="1">
        <v>17</v>
      </c>
      <c r="H304" s="44">
        <v>3.95</v>
      </c>
      <c r="I304" s="44">
        <v>2.4</v>
      </c>
      <c r="J304" s="44">
        <v>0.2</v>
      </c>
      <c r="K304" s="44">
        <v>1.05</v>
      </c>
      <c r="L304" s="44">
        <v>0.43406593406593408</v>
      </c>
      <c r="M304" s="44">
        <v>0.26373626373626374</v>
      </c>
      <c r="N304" s="44">
        <v>2.197802197802198E-2</v>
      </c>
      <c r="O304" s="44">
        <v>0.11538461538461539</v>
      </c>
      <c r="P304" s="50">
        <v>4.3820266346738812</v>
      </c>
      <c r="Q304" s="50">
        <v>3.8918202981106265</v>
      </c>
      <c r="R304" s="50">
        <v>1.6094379124341003</v>
      </c>
      <c r="S304" s="50">
        <v>3.0910424533583161</v>
      </c>
    </row>
    <row r="305" spans="1:19" x14ac:dyDescent="0.25">
      <c r="A305" s="44">
        <v>2017</v>
      </c>
      <c r="B305" s="44">
        <v>0</v>
      </c>
      <c r="C305" s="6">
        <v>-81.74466666666666</v>
      </c>
      <c r="D305" s="44">
        <v>1</v>
      </c>
      <c r="E305" s="44">
        <v>24.3</v>
      </c>
      <c r="F305" s="1">
        <v>1</v>
      </c>
      <c r="G305" s="1">
        <v>14</v>
      </c>
      <c r="H305" s="44">
        <v>0.85</v>
      </c>
      <c r="I305" s="44">
        <v>0.05</v>
      </c>
      <c r="J305" s="44">
        <v>0</v>
      </c>
      <c r="K305" s="44">
        <v>0</v>
      </c>
      <c r="L305" s="44">
        <v>0.4358974358974359</v>
      </c>
      <c r="M305" s="44">
        <v>2.564102564102564E-2</v>
      </c>
      <c r="N305" s="44">
        <v>0</v>
      </c>
      <c r="O305" s="44">
        <v>0</v>
      </c>
      <c r="P305" s="50">
        <v>2.8903717578961645</v>
      </c>
      <c r="Q305" s="50">
        <v>0.69314718055994529</v>
      </c>
      <c r="R305" s="50">
        <v>0</v>
      </c>
      <c r="S305" s="50">
        <v>0</v>
      </c>
    </row>
    <row r="306" spans="1:19" x14ac:dyDescent="0.25">
      <c r="A306" s="44">
        <v>2017</v>
      </c>
      <c r="B306" s="44">
        <v>0</v>
      </c>
      <c r="C306" s="6">
        <v>-81.745166666666663</v>
      </c>
      <c r="D306" s="44">
        <v>1</v>
      </c>
      <c r="E306" s="44">
        <v>24.3</v>
      </c>
      <c r="F306" s="1">
        <v>0</v>
      </c>
      <c r="G306" s="1">
        <v>5</v>
      </c>
      <c r="H306" s="44">
        <v>2.4500000000000002</v>
      </c>
      <c r="I306" s="44">
        <v>0</v>
      </c>
      <c r="J306" s="44">
        <v>0.1</v>
      </c>
      <c r="K306" s="44">
        <v>0</v>
      </c>
      <c r="L306" s="44">
        <v>0.17818181818181819</v>
      </c>
      <c r="M306" s="44">
        <v>0</v>
      </c>
      <c r="N306" s="44">
        <v>7.2727272727272727E-3</v>
      </c>
      <c r="O306" s="44">
        <v>0</v>
      </c>
      <c r="P306" s="50">
        <v>3.912023005428146</v>
      </c>
      <c r="Q306" s="50">
        <v>0</v>
      </c>
      <c r="R306" s="50">
        <v>1.0986122886681098</v>
      </c>
      <c r="S306" s="50">
        <v>0</v>
      </c>
    </row>
    <row r="307" spans="1:19" x14ac:dyDescent="0.25">
      <c r="A307" s="44">
        <v>2017</v>
      </c>
      <c r="B307" s="44">
        <v>0</v>
      </c>
      <c r="C307" s="6">
        <v>-81.807000000000002</v>
      </c>
      <c r="D307" s="44">
        <v>1</v>
      </c>
      <c r="E307" s="44">
        <v>20.5</v>
      </c>
      <c r="F307" s="21">
        <v>0</v>
      </c>
      <c r="G307" s="21">
        <v>12</v>
      </c>
      <c r="H307" s="44">
        <v>1.2</v>
      </c>
      <c r="I307" s="44">
        <v>1.3</v>
      </c>
      <c r="J307" s="44">
        <v>0</v>
      </c>
      <c r="K307" s="44">
        <v>0.05</v>
      </c>
      <c r="L307" s="44">
        <v>0.39344262295081966</v>
      </c>
      <c r="M307" s="44">
        <v>0.42622950819672129</v>
      </c>
      <c r="N307" s="44">
        <v>0</v>
      </c>
      <c r="O307" s="44">
        <v>1.6393442622950821E-2</v>
      </c>
      <c r="P307" s="50">
        <v>3.2188758248682006</v>
      </c>
      <c r="Q307" s="50">
        <v>3.2958368660043291</v>
      </c>
      <c r="R307" s="50">
        <v>0</v>
      </c>
      <c r="S307" s="50">
        <v>0.69314718055994529</v>
      </c>
    </row>
    <row r="308" spans="1:19" x14ac:dyDescent="0.25">
      <c r="A308" s="44">
        <v>2017</v>
      </c>
      <c r="B308" s="44">
        <v>0</v>
      </c>
      <c r="C308" s="6">
        <v>-81.81583333333333</v>
      </c>
      <c r="D308" s="44">
        <v>0</v>
      </c>
      <c r="E308" s="44">
        <v>19.100000000000001</v>
      </c>
      <c r="F308" s="1">
        <v>0</v>
      </c>
      <c r="G308" s="1">
        <v>8</v>
      </c>
      <c r="H308" s="44">
        <v>8.9499999999999993</v>
      </c>
      <c r="I308" s="44">
        <v>0.45</v>
      </c>
      <c r="J308" s="44">
        <v>0</v>
      </c>
      <c r="K308" s="44">
        <v>0.3</v>
      </c>
      <c r="L308" s="44">
        <v>0.89054726368159209</v>
      </c>
      <c r="M308" s="44">
        <v>4.4776119402985072E-2</v>
      </c>
      <c r="N308" s="44">
        <v>0</v>
      </c>
      <c r="O308" s="44">
        <v>2.9850746268656716E-2</v>
      </c>
      <c r="P308" s="50">
        <v>5.1929568508902104</v>
      </c>
      <c r="Q308" s="50">
        <v>2.3025850929940459</v>
      </c>
      <c r="R308" s="50">
        <v>0</v>
      </c>
      <c r="S308" s="50">
        <v>1.9459101490553132</v>
      </c>
    </row>
    <row r="309" spans="1:19" x14ac:dyDescent="0.25">
      <c r="A309" s="44">
        <v>2017</v>
      </c>
      <c r="B309" s="44">
        <v>0</v>
      </c>
      <c r="C309" s="6">
        <v>-81.807333333333332</v>
      </c>
      <c r="D309" s="44">
        <v>1</v>
      </c>
      <c r="E309" s="44">
        <v>20.399999999999999</v>
      </c>
      <c r="F309" s="1">
        <v>0</v>
      </c>
      <c r="G309" s="1">
        <v>5</v>
      </c>
      <c r="H309" s="44">
        <v>6.75</v>
      </c>
      <c r="I309" s="44">
        <v>0.05</v>
      </c>
      <c r="J309" s="44">
        <v>0</v>
      </c>
      <c r="K309" s="44">
        <v>0.1</v>
      </c>
      <c r="L309" s="44">
        <v>0.7142857142857143</v>
      </c>
      <c r="M309" s="44">
        <v>5.2910052910052907E-3</v>
      </c>
      <c r="N309" s="44">
        <v>0</v>
      </c>
      <c r="O309" s="44">
        <v>1.0582010582010581E-2</v>
      </c>
      <c r="P309" s="50">
        <v>4.9126548857360524</v>
      </c>
      <c r="Q309" s="50">
        <v>0.69314718055994529</v>
      </c>
      <c r="R309" s="50">
        <v>0</v>
      </c>
      <c r="S309" s="50">
        <v>1.0986122886681098</v>
      </c>
    </row>
    <row r="310" spans="1:19" x14ac:dyDescent="0.25">
      <c r="A310" s="44">
        <v>2017</v>
      </c>
      <c r="B310" s="44">
        <v>0</v>
      </c>
      <c r="C310" s="6">
        <v>-81.82716666666667</v>
      </c>
      <c r="D310" s="44">
        <v>0</v>
      </c>
      <c r="E310" s="44">
        <v>13.4</v>
      </c>
      <c r="F310" s="1">
        <v>0</v>
      </c>
      <c r="G310" s="1">
        <v>10</v>
      </c>
      <c r="H310" s="44">
        <v>3.65</v>
      </c>
      <c r="I310" s="44">
        <v>115.05</v>
      </c>
      <c r="J310" s="44">
        <v>0.05</v>
      </c>
      <c r="K310" s="44">
        <v>0.1</v>
      </c>
      <c r="L310" s="44">
        <v>3.0607966457023062E-2</v>
      </c>
      <c r="M310" s="44">
        <v>0.96477987421383649</v>
      </c>
      <c r="N310" s="44">
        <v>4.1928721174004191E-4</v>
      </c>
      <c r="O310" s="44">
        <v>8.3857442348008382E-4</v>
      </c>
      <c r="P310" s="50">
        <v>4.3040650932041702</v>
      </c>
      <c r="Q310" s="50">
        <v>7.7415335892818282</v>
      </c>
      <c r="R310" s="50">
        <v>0.69314718055994529</v>
      </c>
      <c r="S310" s="50">
        <v>1.0986122886681098</v>
      </c>
    </row>
    <row r="311" spans="1:19" x14ac:dyDescent="0.25">
      <c r="A311" s="44">
        <v>2017</v>
      </c>
      <c r="B311" s="44">
        <v>0</v>
      </c>
      <c r="C311" s="6">
        <v>-81.817999999999998</v>
      </c>
      <c r="D311" s="44">
        <v>0</v>
      </c>
      <c r="E311" s="44">
        <v>18.2</v>
      </c>
      <c r="F311" s="1">
        <v>0</v>
      </c>
      <c r="G311" s="1">
        <v>5</v>
      </c>
      <c r="H311" s="44">
        <v>4.95</v>
      </c>
      <c r="I311" s="44">
        <v>3.35</v>
      </c>
      <c r="J311" s="44">
        <v>0.05</v>
      </c>
      <c r="K311" s="44">
        <v>0</v>
      </c>
      <c r="L311" s="44">
        <v>0.5892857142857143</v>
      </c>
      <c r="M311" s="44">
        <v>0.39880952380952384</v>
      </c>
      <c r="N311" s="44">
        <v>5.9523809523809521E-3</v>
      </c>
      <c r="O311" s="44">
        <v>0</v>
      </c>
      <c r="P311" s="50">
        <v>4.6051701859880918</v>
      </c>
      <c r="Q311" s="50">
        <v>4.219507705176107</v>
      </c>
      <c r="R311" s="50">
        <v>0.69314718055994529</v>
      </c>
      <c r="S311" s="50">
        <v>0</v>
      </c>
    </row>
    <row r="312" spans="1:19" x14ac:dyDescent="0.25">
      <c r="A312" s="44">
        <v>2017</v>
      </c>
      <c r="B312" s="44">
        <v>0</v>
      </c>
      <c r="C312" s="6">
        <v>-82.15</v>
      </c>
      <c r="D312" s="44">
        <v>1</v>
      </c>
      <c r="E312" s="44">
        <v>21.3</v>
      </c>
      <c r="F312" s="21">
        <v>1</v>
      </c>
      <c r="G312" s="21">
        <v>15</v>
      </c>
      <c r="H312" s="44">
        <v>4.7</v>
      </c>
      <c r="I312" s="44">
        <v>3.85</v>
      </c>
      <c r="J312" s="44">
        <v>0.1</v>
      </c>
      <c r="K312" s="44">
        <v>3.25</v>
      </c>
      <c r="L312" s="44">
        <v>0.37007874015748032</v>
      </c>
      <c r="M312" s="44">
        <v>0.30314960629921262</v>
      </c>
      <c r="N312" s="44">
        <v>7.874015748031496E-3</v>
      </c>
      <c r="O312" s="44">
        <v>0.25590551181102361</v>
      </c>
      <c r="P312" s="50">
        <v>4.5538768916005408</v>
      </c>
      <c r="Q312" s="50">
        <v>4.3567088266895917</v>
      </c>
      <c r="R312" s="50">
        <v>1.0986122886681098</v>
      </c>
      <c r="S312" s="50">
        <v>4.1896547420264252</v>
      </c>
    </row>
    <row r="313" spans="1:19" x14ac:dyDescent="0.25">
      <c r="A313" s="44">
        <v>2017</v>
      </c>
      <c r="B313" s="44">
        <v>0</v>
      </c>
      <c r="C313" s="6">
        <v>-82.141333333333336</v>
      </c>
      <c r="D313" s="44">
        <v>1</v>
      </c>
      <c r="E313" s="44">
        <v>21.4</v>
      </c>
      <c r="F313" s="1">
        <v>0</v>
      </c>
      <c r="G313" s="1">
        <v>12</v>
      </c>
      <c r="H313" s="44">
        <v>13.15</v>
      </c>
      <c r="I313" s="44">
        <v>0.15</v>
      </c>
      <c r="J313" s="44">
        <v>0.1</v>
      </c>
      <c r="K313" s="44">
        <v>0.6</v>
      </c>
      <c r="L313" s="44">
        <v>0.82445141065830718</v>
      </c>
      <c r="M313" s="44">
        <v>9.4043887147335428E-3</v>
      </c>
      <c r="N313" s="44">
        <v>6.269592476489028E-3</v>
      </c>
      <c r="O313" s="44">
        <v>3.7617554858934171E-2</v>
      </c>
      <c r="P313" s="50">
        <v>5.575949103146316</v>
      </c>
      <c r="Q313" s="50">
        <v>1.3862943611198906</v>
      </c>
      <c r="R313" s="50">
        <v>1.0986122886681098</v>
      </c>
      <c r="S313" s="50">
        <v>2.5649493574615367</v>
      </c>
    </row>
    <row r="314" spans="1:19" x14ac:dyDescent="0.25">
      <c r="A314" s="44">
        <v>2017</v>
      </c>
      <c r="B314" s="44">
        <v>0</v>
      </c>
      <c r="C314" s="6">
        <v>-82.155000000000001</v>
      </c>
      <c r="D314" s="44">
        <v>1</v>
      </c>
      <c r="E314" s="44">
        <v>21.3</v>
      </c>
      <c r="F314" s="1">
        <v>0</v>
      </c>
      <c r="G314" s="1">
        <v>9</v>
      </c>
      <c r="H314" s="44">
        <v>1.1000000000000001</v>
      </c>
      <c r="I314" s="44">
        <v>0.1</v>
      </c>
      <c r="J314" s="44">
        <v>0.65</v>
      </c>
      <c r="K314" s="44">
        <v>0.05</v>
      </c>
      <c r="L314" s="44">
        <v>0.1317365269461078</v>
      </c>
      <c r="M314" s="44">
        <v>1.1976047904191617E-2</v>
      </c>
      <c r="N314" s="44">
        <v>7.7844311377245512E-2</v>
      </c>
      <c r="O314" s="44">
        <v>5.9880239520958087E-3</v>
      </c>
      <c r="P314" s="50">
        <v>3.1354942159291497</v>
      </c>
      <c r="Q314" s="50">
        <v>1.0986122886681098</v>
      </c>
      <c r="R314" s="50">
        <v>2.6390573296152584</v>
      </c>
      <c r="S314" s="50">
        <v>0.69314718055994529</v>
      </c>
    </row>
    <row r="315" spans="1:19" x14ac:dyDescent="0.25">
      <c r="A315" s="44">
        <v>2017</v>
      </c>
      <c r="B315" s="44">
        <v>0</v>
      </c>
      <c r="C315" s="6">
        <v>-82.164833333333334</v>
      </c>
      <c r="D315" s="44">
        <v>1</v>
      </c>
      <c r="E315" s="44">
        <v>21.3</v>
      </c>
      <c r="F315" s="47">
        <v>0</v>
      </c>
      <c r="G315" s="21">
        <v>6</v>
      </c>
      <c r="H315" s="44">
        <v>1.1000000000000001</v>
      </c>
      <c r="I315" s="44">
        <v>0</v>
      </c>
      <c r="J315" s="44">
        <v>0.35</v>
      </c>
      <c r="K315" s="44">
        <v>0</v>
      </c>
      <c r="L315" s="44">
        <v>0.22448979591836735</v>
      </c>
      <c r="M315" s="44">
        <v>0</v>
      </c>
      <c r="N315" s="44">
        <v>7.1428571428571425E-2</v>
      </c>
      <c r="O315" s="44">
        <v>0</v>
      </c>
      <c r="P315" s="50">
        <v>3.1354942159291497</v>
      </c>
      <c r="Q315" s="50">
        <v>0</v>
      </c>
      <c r="R315" s="50">
        <v>2.0794415416798357</v>
      </c>
      <c r="S315" s="50">
        <v>0</v>
      </c>
    </row>
    <row r="316" spans="1:19" x14ac:dyDescent="0.25">
      <c r="A316" s="44">
        <v>2017</v>
      </c>
      <c r="B316" s="44">
        <v>0</v>
      </c>
      <c r="C316" s="6">
        <v>-82.224500000000006</v>
      </c>
      <c r="D316" s="44">
        <v>1</v>
      </c>
      <c r="E316" s="44">
        <v>20.9</v>
      </c>
      <c r="F316" s="47">
        <v>0</v>
      </c>
      <c r="G316" s="1">
        <v>9</v>
      </c>
      <c r="H316" s="44">
        <v>12.65</v>
      </c>
      <c r="I316" s="44">
        <v>0.35</v>
      </c>
      <c r="J316" s="44">
        <v>0</v>
      </c>
      <c r="K316" s="44">
        <v>0.4</v>
      </c>
      <c r="L316" s="44">
        <v>0.90357142857142858</v>
      </c>
      <c r="M316" s="44">
        <v>2.5000000000000001E-2</v>
      </c>
      <c r="N316" s="44">
        <v>0</v>
      </c>
      <c r="O316" s="44">
        <v>2.8571428571428571E-2</v>
      </c>
      <c r="P316" s="50">
        <v>5.5373342670185366</v>
      </c>
      <c r="Q316" s="50">
        <v>2.0794415416798357</v>
      </c>
      <c r="R316" s="50">
        <v>0</v>
      </c>
      <c r="S316" s="50">
        <v>2.1972245773362196</v>
      </c>
    </row>
    <row r="317" spans="1:19" x14ac:dyDescent="0.25">
      <c r="A317" s="44">
        <v>2017</v>
      </c>
      <c r="B317" s="44">
        <v>0</v>
      </c>
      <c r="C317" s="6">
        <v>-82.234833333333327</v>
      </c>
      <c r="D317" s="44">
        <v>1</v>
      </c>
      <c r="E317" s="44">
        <v>20.7</v>
      </c>
      <c r="F317" s="47">
        <v>0</v>
      </c>
      <c r="G317" s="1">
        <v>7</v>
      </c>
      <c r="H317" s="44">
        <v>22.15</v>
      </c>
      <c r="I317" s="44">
        <v>0.8</v>
      </c>
      <c r="J317" s="44">
        <v>0</v>
      </c>
      <c r="K317" s="44">
        <v>0.45</v>
      </c>
      <c r="L317" s="44">
        <v>0.92872117400419285</v>
      </c>
      <c r="M317" s="44">
        <v>3.3542976939203356E-2</v>
      </c>
      <c r="N317" s="44">
        <v>0</v>
      </c>
      <c r="O317" s="44">
        <v>1.8867924528301886E-2</v>
      </c>
      <c r="P317" s="50">
        <v>6.0958245624322247</v>
      </c>
      <c r="Q317" s="50">
        <v>2.8332133440562162</v>
      </c>
      <c r="R317" s="50">
        <v>0</v>
      </c>
      <c r="S317" s="50">
        <v>2.3025850929940459</v>
      </c>
    </row>
    <row r="318" spans="1:19" x14ac:dyDescent="0.25">
      <c r="A318" s="44">
        <v>2017</v>
      </c>
      <c r="B318" s="44">
        <v>0</v>
      </c>
      <c r="C318" s="6">
        <v>-82.22</v>
      </c>
      <c r="D318" s="44">
        <v>1</v>
      </c>
      <c r="E318" s="44">
        <v>21</v>
      </c>
      <c r="F318" s="47">
        <v>0</v>
      </c>
      <c r="G318" s="21">
        <v>5</v>
      </c>
      <c r="H318" s="44">
        <v>1.4</v>
      </c>
      <c r="I318" s="44">
        <v>0</v>
      </c>
      <c r="J318" s="44">
        <v>0</v>
      </c>
      <c r="K318" s="44">
        <v>0.05</v>
      </c>
      <c r="L318" s="44">
        <v>0.30769230769230771</v>
      </c>
      <c r="M318" s="44">
        <v>0</v>
      </c>
      <c r="N318" s="44">
        <v>0</v>
      </c>
      <c r="O318" s="44">
        <v>1.098901098901099E-2</v>
      </c>
      <c r="P318" s="50">
        <v>3.3672958299864741</v>
      </c>
      <c r="Q318" s="50">
        <v>0</v>
      </c>
      <c r="R318" s="50">
        <v>0</v>
      </c>
      <c r="S318" s="50">
        <v>0.69314718055994529</v>
      </c>
    </row>
    <row r="319" spans="1:19" x14ac:dyDescent="0.25">
      <c r="A319" s="44">
        <v>2017</v>
      </c>
      <c r="B319" s="44">
        <v>0</v>
      </c>
      <c r="C319" s="6">
        <v>-82.26433333333334</v>
      </c>
      <c r="D319" s="44">
        <v>0</v>
      </c>
      <c r="E319" s="44">
        <v>13.6</v>
      </c>
      <c r="F319" s="47">
        <v>0</v>
      </c>
      <c r="G319" s="1">
        <v>7</v>
      </c>
      <c r="H319" s="44">
        <v>7.6</v>
      </c>
      <c r="I319" s="44">
        <v>3.05</v>
      </c>
      <c r="J319" s="44">
        <v>0</v>
      </c>
      <c r="K319" s="44">
        <v>0</v>
      </c>
      <c r="L319" s="44">
        <v>0.70370370370370372</v>
      </c>
      <c r="M319" s="44">
        <v>0.28240740740740738</v>
      </c>
      <c r="N319" s="44">
        <v>0</v>
      </c>
      <c r="O319" s="44">
        <v>0</v>
      </c>
      <c r="P319" s="50">
        <v>5.0304379213924353</v>
      </c>
      <c r="Q319" s="50">
        <v>4.1271343850450917</v>
      </c>
      <c r="R319" s="50">
        <v>0</v>
      </c>
      <c r="S319" s="50">
        <v>0</v>
      </c>
    </row>
    <row r="320" spans="1:19" x14ac:dyDescent="0.25">
      <c r="A320" s="44">
        <v>2017</v>
      </c>
      <c r="B320" s="44">
        <v>0</v>
      </c>
      <c r="C320" s="6">
        <v>-82.26166666666667</v>
      </c>
      <c r="D320" s="44">
        <v>0</v>
      </c>
      <c r="E320" s="44">
        <v>17.100000000000001</v>
      </c>
      <c r="F320" s="47">
        <v>0</v>
      </c>
      <c r="G320" s="1">
        <v>5</v>
      </c>
      <c r="H320" s="44">
        <v>22.75</v>
      </c>
      <c r="I320" s="44">
        <v>0.75</v>
      </c>
      <c r="J320" s="44">
        <v>0</v>
      </c>
      <c r="K320" s="44">
        <v>0</v>
      </c>
      <c r="L320" s="44">
        <v>0.95387840670859536</v>
      </c>
      <c r="M320" s="44">
        <v>3.1446540880503145E-2</v>
      </c>
      <c r="N320" s="44">
        <v>0</v>
      </c>
      <c r="O320" s="44">
        <v>0</v>
      </c>
      <c r="P320" s="50">
        <v>6.1224928095143865</v>
      </c>
      <c r="Q320" s="50">
        <v>2.7725887222397811</v>
      </c>
      <c r="R320" s="50">
        <v>0</v>
      </c>
      <c r="S320" s="50">
        <v>0</v>
      </c>
    </row>
    <row r="321" spans="1:19" x14ac:dyDescent="0.25">
      <c r="A321" s="44">
        <v>2018</v>
      </c>
      <c r="B321" s="44">
        <v>1</v>
      </c>
      <c r="C321" s="6">
        <v>-81.007999999999996</v>
      </c>
      <c r="D321" s="44">
        <v>0</v>
      </c>
      <c r="E321" s="44">
        <v>14.2</v>
      </c>
      <c r="F321" s="47">
        <v>0</v>
      </c>
      <c r="G321" s="1">
        <v>5</v>
      </c>
      <c r="H321" s="44">
        <v>0</v>
      </c>
      <c r="I321" s="44">
        <v>0</v>
      </c>
      <c r="J321" s="44">
        <v>0.1</v>
      </c>
      <c r="K321" s="44">
        <v>0.15</v>
      </c>
      <c r="L321" s="44">
        <v>0</v>
      </c>
      <c r="M321" s="44">
        <v>0</v>
      </c>
      <c r="N321" s="44">
        <v>8.6956521739130432E-2</v>
      </c>
      <c r="O321" s="44">
        <v>0.13043478260869565</v>
      </c>
      <c r="P321" s="50">
        <v>0</v>
      </c>
      <c r="Q321" s="50">
        <v>0</v>
      </c>
      <c r="R321" s="50">
        <v>1.0986122886681098</v>
      </c>
      <c r="S321" s="50">
        <v>1.3862943611198906</v>
      </c>
    </row>
    <row r="322" spans="1:19" x14ac:dyDescent="0.25">
      <c r="A322" s="44">
        <v>2018</v>
      </c>
      <c r="B322" s="44">
        <v>1</v>
      </c>
      <c r="C322" s="6">
        <v>-81.001166666666663</v>
      </c>
      <c r="D322" s="44">
        <v>0</v>
      </c>
      <c r="E322" s="44">
        <v>14.5</v>
      </c>
      <c r="F322" s="47">
        <v>0</v>
      </c>
      <c r="G322" s="1">
        <v>9</v>
      </c>
      <c r="H322" s="44">
        <v>0.35</v>
      </c>
      <c r="I322" s="44">
        <v>0</v>
      </c>
      <c r="J322" s="44">
        <v>0.05</v>
      </c>
      <c r="K322" s="44">
        <v>0.2</v>
      </c>
      <c r="L322" s="44">
        <v>0.36842105263157893</v>
      </c>
      <c r="M322" s="44">
        <v>0</v>
      </c>
      <c r="N322" s="44">
        <v>5.2631578947368418E-2</v>
      </c>
      <c r="O322" s="44">
        <v>0.21052631578947367</v>
      </c>
      <c r="P322" s="50">
        <v>2.0794415416798357</v>
      </c>
      <c r="Q322" s="50">
        <v>0</v>
      </c>
      <c r="R322" s="50">
        <v>0.69314718055994529</v>
      </c>
      <c r="S322" s="50">
        <v>1.6094379124341003</v>
      </c>
    </row>
    <row r="323" spans="1:19" x14ac:dyDescent="0.25">
      <c r="A323" s="44">
        <v>2018</v>
      </c>
      <c r="B323" s="44">
        <v>1</v>
      </c>
      <c r="C323" s="6">
        <v>-80.974166666666662</v>
      </c>
      <c r="D323" s="44">
        <v>0</v>
      </c>
      <c r="E323" s="44">
        <v>18.600000000000001</v>
      </c>
      <c r="F323" s="47">
        <v>0</v>
      </c>
      <c r="G323" s="1">
        <v>5</v>
      </c>
      <c r="H323" s="44">
        <v>0.15</v>
      </c>
      <c r="I323" s="44">
        <v>0</v>
      </c>
      <c r="J323" s="44">
        <v>0</v>
      </c>
      <c r="K323" s="44">
        <v>0.25</v>
      </c>
      <c r="L323" s="44">
        <v>0.11538461538461539</v>
      </c>
      <c r="M323" s="44">
        <v>0</v>
      </c>
      <c r="N323" s="44">
        <v>0</v>
      </c>
      <c r="O323" s="44">
        <v>0.19230769230769232</v>
      </c>
      <c r="P323" s="50">
        <v>1.3862943611198906</v>
      </c>
      <c r="Q323" s="50">
        <v>0</v>
      </c>
      <c r="R323" s="50">
        <v>0</v>
      </c>
      <c r="S323" s="50">
        <v>1.791759469228055</v>
      </c>
    </row>
    <row r="324" spans="1:19" x14ac:dyDescent="0.25">
      <c r="A324" s="44">
        <v>2018</v>
      </c>
      <c r="B324" s="44">
        <v>1</v>
      </c>
      <c r="C324" s="6">
        <v>-80.958333333333329</v>
      </c>
      <c r="D324" s="44">
        <v>0</v>
      </c>
      <c r="E324" s="44">
        <v>19.3</v>
      </c>
      <c r="F324" s="21">
        <v>0</v>
      </c>
      <c r="G324" s="21">
        <v>12</v>
      </c>
      <c r="H324" s="44">
        <v>0.9</v>
      </c>
      <c r="I324" s="44">
        <v>0</v>
      </c>
      <c r="J324" s="44">
        <v>0</v>
      </c>
      <c r="K324" s="44">
        <v>1.25</v>
      </c>
      <c r="L324" s="44">
        <v>0.36</v>
      </c>
      <c r="M324" s="44">
        <v>0</v>
      </c>
      <c r="N324" s="44">
        <v>0</v>
      </c>
      <c r="O324" s="44">
        <v>0.5</v>
      </c>
      <c r="P324" s="50">
        <v>2.9444389791664403</v>
      </c>
      <c r="Q324" s="50">
        <v>0</v>
      </c>
      <c r="R324" s="50">
        <v>0</v>
      </c>
      <c r="S324" s="50">
        <v>3.2580965380214821</v>
      </c>
    </row>
    <row r="325" spans="1:19" x14ac:dyDescent="0.25">
      <c r="A325" s="44">
        <v>2018</v>
      </c>
      <c r="B325" s="44">
        <v>1</v>
      </c>
      <c r="C325" s="6">
        <v>-80.948166666666665</v>
      </c>
      <c r="D325" s="44">
        <v>1</v>
      </c>
      <c r="E325" s="44">
        <v>19.5</v>
      </c>
      <c r="F325" s="1">
        <v>1</v>
      </c>
      <c r="G325" s="1">
        <v>16</v>
      </c>
      <c r="H325" s="44">
        <v>0</v>
      </c>
      <c r="I325" s="44">
        <v>0</v>
      </c>
      <c r="J325" s="44">
        <v>0</v>
      </c>
      <c r="K325" s="44">
        <v>0.45</v>
      </c>
      <c r="L325" s="44">
        <v>0</v>
      </c>
      <c r="M325" s="44">
        <v>0</v>
      </c>
      <c r="N325" s="44">
        <v>0</v>
      </c>
      <c r="O325" s="44">
        <v>0.69230769230769229</v>
      </c>
      <c r="P325" s="50">
        <v>0</v>
      </c>
      <c r="Q325" s="50">
        <v>0</v>
      </c>
      <c r="R325" s="50">
        <v>0</v>
      </c>
      <c r="S325" s="50">
        <v>2.3025850929940459</v>
      </c>
    </row>
    <row r="326" spans="1:19" x14ac:dyDescent="0.25">
      <c r="A326" s="44">
        <v>2018</v>
      </c>
      <c r="B326" s="44">
        <v>1</v>
      </c>
      <c r="C326" s="6">
        <v>-80.915999999999997</v>
      </c>
      <c r="D326" s="44">
        <v>1</v>
      </c>
      <c r="E326" s="44">
        <v>21.3</v>
      </c>
      <c r="F326" s="1">
        <v>0</v>
      </c>
      <c r="G326" s="1">
        <v>8</v>
      </c>
      <c r="H326" s="44">
        <v>0</v>
      </c>
      <c r="I326" s="44">
        <v>0</v>
      </c>
      <c r="J326" s="44">
        <v>0</v>
      </c>
      <c r="K326" s="44">
        <v>2.2999999999999998</v>
      </c>
      <c r="L326" s="44">
        <v>0</v>
      </c>
      <c r="M326" s="44">
        <v>0</v>
      </c>
      <c r="N326" s="44">
        <v>0</v>
      </c>
      <c r="O326" s="44">
        <v>0.95833333333333337</v>
      </c>
      <c r="P326" s="50">
        <v>0</v>
      </c>
      <c r="Q326" s="50">
        <v>0</v>
      </c>
      <c r="R326" s="50">
        <v>0</v>
      </c>
      <c r="S326" s="50">
        <v>3.8501476017100584</v>
      </c>
    </row>
    <row r="327" spans="1:19" x14ac:dyDescent="0.25">
      <c r="A327" s="44">
        <v>2018</v>
      </c>
      <c r="B327" s="44">
        <v>1</v>
      </c>
      <c r="C327" s="6">
        <v>-80.887666666666661</v>
      </c>
      <c r="D327" s="44">
        <v>1</v>
      </c>
      <c r="E327" s="44">
        <v>21.2</v>
      </c>
      <c r="F327" s="1">
        <v>0</v>
      </c>
      <c r="G327" s="1">
        <v>12</v>
      </c>
      <c r="H327" s="44">
        <v>0</v>
      </c>
      <c r="I327" s="44">
        <v>0</v>
      </c>
      <c r="J327" s="44">
        <v>0</v>
      </c>
      <c r="K327" s="44">
        <v>0.5</v>
      </c>
      <c r="L327" s="44">
        <v>0</v>
      </c>
      <c r="M327" s="44">
        <v>0</v>
      </c>
      <c r="N327" s="44">
        <v>0</v>
      </c>
      <c r="O327" s="44">
        <v>0.625</v>
      </c>
      <c r="P327" s="50">
        <v>0</v>
      </c>
      <c r="Q327" s="50">
        <v>0</v>
      </c>
      <c r="R327" s="50">
        <v>0</v>
      </c>
      <c r="S327" s="50">
        <v>2.3978952727983707</v>
      </c>
    </row>
    <row r="328" spans="1:19" x14ac:dyDescent="0.25">
      <c r="A328" s="44">
        <v>2018</v>
      </c>
      <c r="B328" s="44">
        <v>1</v>
      </c>
      <c r="C328" s="6">
        <v>-80.883166666666668</v>
      </c>
      <c r="D328" s="44">
        <v>1</v>
      </c>
      <c r="E328" s="44">
        <v>21</v>
      </c>
      <c r="F328" s="1">
        <v>1</v>
      </c>
      <c r="G328" s="1">
        <v>15</v>
      </c>
      <c r="H328" s="44">
        <v>0.05</v>
      </c>
      <c r="I328" s="44">
        <v>15.35</v>
      </c>
      <c r="J328" s="44">
        <v>0</v>
      </c>
      <c r="K328" s="44">
        <v>0.05</v>
      </c>
      <c r="L328" s="44">
        <v>3.1948881789137379E-3</v>
      </c>
      <c r="M328" s="44">
        <v>0.98083067092651754</v>
      </c>
      <c r="N328" s="44">
        <v>0</v>
      </c>
      <c r="O328" s="44">
        <v>3.1948881789137379E-3</v>
      </c>
      <c r="P328" s="50">
        <v>0.69314718055994529</v>
      </c>
      <c r="Q328" s="50">
        <v>5.730099782973574</v>
      </c>
      <c r="R328" s="50">
        <v>0</v>
      </c>
      <c r="S328" s="50">
        <v>0.69314718055994529</v>
      </c>
    </row>
    <row r="329" spans="1:19" x14ac:dyDescent="0.25">
      <c r="A329" s="44">
        <v>2018</v>
      </c>
      <c r="B329" s="44">
        <v>1</v>
      </c>
      <c r="C329" s="6">
        <v>-80.88666666666667</v>
      </c>
      <c r="D329" s="44">
        <v>1</v>
      </c>
      <c r="E329" s="44">
        <v>21.1</v>
      </c>
      <c r="F329" s="47">
        <v>1</v>
      </c>
      <c r="G329" s="1">
        <v>18</v>
      </c>
      <c r="H329" s="44">
        <v>0.2</v>
      </c>
      <c r="I329" s="44">
        <v>0.75</v>
      </c>
      <c r="J329" s="44">
        <v>0</v>
      </c>
      <c r="K329" s="44">
        <v>0.3</v>
      </c>
      <c r="L329" s="44">
        <v>0.16</v>
      </c>
      <c r="M329" s="44">
        <v>0.6</v>
      </c>
      <c r="N329" s="44">
        <v>0</v>
      </c>
      <c r="O329" s="44">
        <v>0.24</v>
      </c>
      <c r="P329" s="50">
        <v>1.6094379124341003</v>
      </c>
      <c r="Q329" s="50">
        <v>2.7725887222397811</v>
      </c>
      <c r="R329" s="50">
        <v>0</v>
      </c>
      <c r="S329" s="50">
        <v>1.9459101490553132</v>
      </c>
    </row>
    <row r="330" spans="1:19" x14ac:dyDescent="0.25">
      <c r="A330" s="44">
        <v>2018</v>
      </c>
      <c r="B330" s="44">
        <v>1</v>
      </c>
      <c r="C330" s="6">
        <v>-81.469499999999996</v>
      </c>
      <c r="D330" s="44">
        <v>0</v>
      </c>
      <c r="E330" s="44">
        <v>12.1</v>
      </c>
      <c r="F330" s="1">
        <v>0</v>
      </c>
      <c r="G330" s="1">
        <v>5</v>
      </c>
      <c r="H330" s="44">
        <v>0.1</v>
      </c>
      <c r="I330" s="44">
        <v>0</v>
      </c>
      <c r="J330" s="44">
        <v>0</v>
      </c>
      <c r="K330" s="44">
        <v>0.85</v>
      </c>
      <c r="L330" s="44">
        <v>6.0606060606060608E-2</v>
      </c>
      <c r="M330" s="44">
        <v>0</v>
      </c>
      <c r="N330" s="44">
        <v>0</v>
      </c>
      <c r="O330" s="44">
        <v>0.51515151515151514</v>
      </c>
      <c r="P330" s="50">
        <v>1.0986122886681098</v>
      </c>
      <c r="Q330" s="50">
        <v>0</v>
      </c>
      <c r="R330" s="50">
        <v>0</v>
      </c>
      <c r="S330" s="50">
        <v>2.8903717578961645</v>
      </c>
    </row>
    <row r="331" spans="1:19" x14ac:dyDescent="0.25">
      <c r="A331" s="44">
        <v>2018</v>
      </c>
      <c r="B331" s="44">
        <v>1</v>
      </c>
      <c r="C331" s="6">
        <v>-81.462333333333333</v>
      </c>
      <c r="D331" s="44">
        <v>0</v>
      </c>
      <c r="E331" s="44">
        <v>14.9</v>
      </c>
      <c r="F331" s="1">
        <v>0</v>
      </c>
      <c r="G331" s="1">
        <v>8</v>
      </c>
      <c r="H331" s="44">
        <v>0.1</v>
      </c>
      <c r="I331" s="44">
        <v>0</v>
      </c>
      <c r="J331" s="44">
        <v>0</v>
      </c>
      <c r="K331" s="44">
        <v>0.3</v>
      </c>
      <c r="L331" s="44">
        <v>0.05</v>
      </c>
      <c r="M331" s="44">
        <v>0</v>
      </c>
      <c r="N331" s="44">
        <v>0</v>
      </c>
      <c r="O331" s="44">
        <v>0.15</v>
      </c>
      <c r="P331" s="50">
        <v>1.0986122886681098</v>
      </c>
      <c r="Q331" s="50">
        <v>0</v>
      </c>
      <c r="R331" s="50">
        <v>0</v>
      </c>
      <c r="S331" s="50">
        <v>1.9459101490553132</v>
      </c>
    </row>
    <row r="332" spans="1:19" x14ac:dyDescent="0.25">
      <c r="A332" s="44">
        <v>2018</v>
      </c>
      <c r="B332" s="44">
        <v>1</v>
      </c>
      <c r="C332" s="6">
        <v>-81.433499999999995</v>
      </c>
      <c r="D332" s="44">
        <v>1</v>
      </c>
      <c r="E332" s="44">
        <v>20.8</v>
      </c>
      <c r="F332" s="1">
        <v>0</v>
      </c>
      <c r="G332" s="1">
        <v>6</v>
      </c>
      <c r="H332" s="44">
        <v>0</v>
      </c>
      <c r="I332" s="44">
        <v>0</v>
      </c>
      <c r="J332" s="44">
        <v>0</v>
      </c>
      <c r="K332" s="44">
        <v>0.05</v>
      </c>
      <c r="L332" s="44">
        <v>0</v>
      </c>
      <c r="M332" s="44">
        <v>0</v>
      </c>
      <c r="N332" s="44">
        <v>0</v>
      </c>
      <c r="O332" s="44">
        <v>4.7619047619047616E-2</v>
      </c>
      <c r="P332" s="50">
        <v>0</v>
      </c>
      <c r="Q332" s="50">
        <v>0</v>
      </c>
      <c r="R332" s="50">
        <v>0</v>
      </c>
      <c r="S332" s="50">
        <v>0.69314718055994529</v>
      </c>
    </row>
    <row r="333" spans="1:19" x14ac:dyDescent="0.25">
      <c r="A333" s="44">
        <v>2018</v>
      </c>
      <c r="B333" s="44">
        <v>1</v>
      </c>
      <c r="C333" s="6">
        <v>-81.418666666666667</v>
      </c>
      <c r="D333" s="44">
        <v>1</v>
      </c>
      <c r="E333" s="44">
        <v>21.1</v>
      </c>
      <c r="F333" s="1">
        <v>0</v>
      </c>
      <c r="G333" s="1">
        <v>12</v>
      </c>
      <c r="H333" s="44">
        <v>0</v>
      </c>
      <c r="I333" s="44">
        <v>0</v>
      </c>
      <c r="J333" s="44">
        <v>0</v>
      </c>
      <c r="K333" s="44">
        <v>1.1000000000000001</v>
      </c>
      <c r="L333" s="44">
        <v>0</v>
      </c>
      <c r="M333" s="44">
        <v>0</v>
      </c>
      <c r="N333" s="44">
        <v>0</v>
      </c>
      <c r="O333" s="44">
        <v>0.5641025641025641</v>
      </c>
      <c r="P333" s="50">
        <v>0</v>
      </c>
      <c r="Q333" s="50">
        <v>0</v>
      </c>
      <c r="R333" s="50">
        <v>0</v>
      </c>
      <c r="S333" s="50">
        <v>3.1354942159291497</v>
      </c>
    </row>
    <row r="334" spans="1:19" x14ac:dyDescent="0.25">
      <c r="A334" s="44">
        <v>2018</v>
      </c>
      <c r="B334" s="44">
        <v>1</v>
      </c>
      <c r="C334" s="6">
        <v>-81.415999999999997</v>
      </c>
      <c r="D334" s="44">
        <v>1</v>
      </c>
      <c r="E334" s="44">
        <v>20.6</v>
      </c>
      <c r="F334" s="1">
        <v>1</v>
      </c>
      <c r="G334" s="1">
        <v>16</v>
      </c>
      <c r="H334" s="44">
        <v>0.1</v>
      </c>
      <c r="I334" s="44">
        <v>0.05</v>
      </c>
      <c r="J334" s="44">
        <v>0</v>
      </c>
      <c r="K334" s="44">
        <v>0.95</v>
      </c>
      <c r="L334" s="44">
        <v>5.7142857142857141E-2</v>
      </c>
      <c r="M334" s="44">
        <v>2.8571428571428571E-2</v>
      </c>
      <c r="N334" s="44">
        <v>0</v>
      </c>
      <c r="O334" s="44">
        <v>0.54285714285714282</v>
      </c>
      <c r="P334" s="50">
        <v>1.0986122886681098</v>
      </c>
      <c r="Q334" s="50">
        <v>0.69314718055994529</v>
      </c>
      <c r="R334" s="50">
        <v>0</v>
      </c>
      <c r="S334" s="50">
        <v>2.9957322735539909</v>
      </c>
    </row>
    <row r="335" spans="1:19" x14ac:dyDescent="0.25">
      <c r="A335" s="44">
        <v>2018</v>
      </c>
      <c r="B335" s="44">
        <v>1</v>
      </c>
      <c r="C335" s="6">
        <v>-81.381833333333333</v>
      </c>
      <c r="D335" s="44">
        <v>1</v>
      </c>
      <c r="E335" s="44">
        <v>22.8</v>
      </c>
      <c r="F335" s="1">
        <v>0</v>
      </c>
      <c r="G335" s="1">
        <v>7</v>
      </c>
      <c r="H335" s="44">
        <v>0</v>
      </c>
      <c r="I335" s="44">
        <v>0</v>
      </c>
      <c r="J335" s="44">
        <v>0</v>
      </c>
      <c r="K335" s="44">
        <v>3.05</v>
      </c>
      <c r="L335" s="44">
        <v>0</v>
      </c>
      <c r="M335" s="44">
        <v>0</v>
      </c>
      <c r="N335" s="44">
        <v>0</v>
      </c>
      <c r="O335" s="44">
        <v>0.84722222222222221</v>
      </c>
      <c r="P335" s="50">
        <v>0</v>
      </c>
      <c r="Q335" s="50">
        <v>0</v>
      </c>
      <c r="R335" s="50">
        <v>0</v>
      </c>
      <c r="S335" s="50">
        <v>4.1271343850450917</v>
      </c>
    </row>
    <row r="336" spans="1:19" x14ac:dyDescent="0.25">
      <c r="A336" s="44">
        <v>2018</v>
      </c>
      <c r="B336" s="44">
        <v>1</v>
      </c>
      <c r="C336" s="6">
        <v>-81.373333333333335</v>
      </c>
      <c r="D336" s="44">
        <v>1</v>
      </c>
      <c r="E336" s="44">
        <v>22.7</v>
      </c>
      <c r="F336" s="1">
        <v>0</v>
      </c>
      <c r="G336" s="1">
        <v>12</v>
      </c>
      <c r="H336" s="44">
        <v>0.1</v>
      </c>
      <c r="I336" s="44">
        <v>0</v>
      </c>
      <c r="J336" s="44">
        <v>0</v>
      </c>
      <c r="K336" s="44">
        <v>2.6</v>
      </c>
      <c r="L336" s="44">
        <v>3.2786885245901641E-2</v>
      </c>
      <c r="M336" s="44">
        <v>0</v>
      </c>
      <c r="N336" s="44">
        <v>0</v>
      </c>
      <c r="O336" s="44">
        <v>0.85245901639344257</v>
      </c>
      <c r="P336" s="50">
        <v>1.0986122886681098</v>
      </c>
      <c r="Q336" s="50">
        <v>0</v>
      </c>
      <c r="R336" s="50">
        <v>0</v>
      </c>
      <c r="S336" s="50">
        <v>3.970291913552122</v>
      </c>
    </row>
    <row r="337" spans="1:19" x14ac:dyDescent="0.25">
      <c r="A337" s="44">
        <v>2018</v>
      </c>
      <c r="B337" s="44">
        <v>1</v>
      </c>
      <c r="C337" s="6">
        <v>-81.369500000000002</v>
      </c>
      <c r="D337" s="44">
        <v>1</v>
      </c>
      <c r="E337" s="44">
        <v>22.7</v>
      </c>
      <c r="F337" s="1">
        <v>1</v>
      </c>
      <c r="G337" s="1">
        <v>16</v>
      </c>
      <c r="H337" s="44">
        <v>0.3</v>
      </c>
      <c r="I337" s="44">
        <v>0.05</v>
      </c>
      <c r="J337" s="44">
        <v>0</v>
      </c>
      <c r="K337" s="44">
        <v>2.65</v>
      </c>
      <c r="L337" s="44">
        <v>0.1</v>
      </c>
      <c r="M337" s="44">
        <v>1.6666666666666666E-2</v>
      </c>
      <c r="N337" s="44">
        <v>0</v>
      </c>
      <c r="O337" s="44">
        <v>0.8833333333333333</v>
      </c>
      <c r="P337" s="50">
        <v>1.9459101490553132</v>
      </c>
      <c r="Q337" s="50">
        <v>0.69314718055994529</v>
      </c>
      <c r="R337" s="50">
        <v>0</v>
      </c>
      <c r="S337" s="50">
        <v>3.9889840465642745</v>
      </c>
    </row>
    <row r="338" spans="1:19" x14ac:dyDescent="0.25">
      <c r="A338" s="44">
        <v>2018</v>
      </c>
      <c r="B338" s="44">
        <v>1</v>
      </c>
      <c r="C338" s="6">
        <v>-81.367166666666662</v>
      </c>
      <c r="D338" s="44">
        <v>1</v>
      </c>
      <c r="E338" s="44">
        <v>22.9</v>
      </c>
      <c r="F338" s="47">
        <v>1</v>
      </c>
      <c r="G338" s="1">
        <v>18</v>
      </c>
      <c r="H338" s="44">
        <v>0.45</v>
      </c>
      <c r="I338" s="44">
        <v>1.1499999999999999</v>
      </c>
      <c r="J338" s="44">
        <v>0</v>
      </c>
      <c r="K338" s="44">
        <v>2.85</v>
      </c>
      <c r="L338" s="44">
        <v>0.10112359550561797</v>
      </c>
      <c r="M338" s="44">
        <v>0.25842696629213485</v>
      </c>
      <c r="N338" s="44">
        <v>0</v>
      </c>
      <c r="O338" s="44">
        <v>0.6404494382022472</v>
      </c>
      <c r="P338" s="50">
        <v>2.3025850929940459</v>
      </c>
      <c r="Q338" s="50">
        <v>3.1780538303479458</v>
      </c>
      <c r="R338" s="50">
        <v>0</v>
      </c>
      <c r="S338" s="50">
        <v>4.0604430105464191</v>
      </c>
    </row>
    <row r="339" spans="1:19" x14ac:dyDescent="0.25">
      <c r="A339" s="44">
        <v>2018</v>
      </c>
      <c r="B339" s="44">
        <v>0</v>
      </c>
      <c r="C339" s="6">
        <v>-81.744166666666672</v>
      </c>
      <c r="D339" s="44">
        <v>1</v>
      </c>
      <c r="E339" s="44">
        <v>24.7</v>
      </c>
      <c r="F339" s="1" t="s">
        <v>46</v>
      </c>
      <c r="G339" s="44" t="s">
        <v>46</v>
      </c>
      <c r="H339" s="44">
        <v>0.65</v>
      </c>
      <c r="I339" s="44">
        <v>0</v>
      </c>
      <c r="J339" s="44">
        <v>0</v>
      </c>
      <c r="K339" s="44">
        <v>3.95</v>
      </c>
      <c r="L339" s="44">
        <v>0.12871287128712872</v>
      </c>
      <c r="M339" s="44">
        <v>0</v>
      </c>
      <c r="N339" s="44">
        <v>0</v>
      </c>
      <c r="O339" s="44">
        <v>0.78217821782178221</v>
      </c>
      <c r="P339" s="50">
        <v>2.6390573296152584</v>
      </c>
      <c r="Q339" s="50">
        <v>0</v>
      </c>
      <c r="R339" s="50">
        <v>0</v>
      </c>
      <c r="S339" s="50">
        <v>4.3820266346738812</v>
      </c>
    </row>
    <row r="340" spans="1:19" x14ac:dyDescent="0.25">
      <c r="A340" s="44">
        <v>2018</v>
      </c>
      <c r="B340" s="44">
        <v>0</v>
      </c>
      <c r="C340" s="6">
        <v>-81.738</v>
      </c>
      <c r="D340" s="44">
        <v>1</v>
      </c>
      <c r="E340" s="44">
        <v>24.8</v>
      </c>
      <c r="F340" s="1">
        <v>0</v>
      </c>
      <c r="G340" s="44">
        <v>12</v>
      </c>
      <c r="H340" s="44">
        <v>0.15</v>
      </c>
      <c r="I340" s="44">
        <v>0</v>
      </c>
      <c r="J340" s="44">
        <v>0</v>
      </c>
      <c r="K340" s="44">
        <v>0.2</v>
      </c>
      <c r="L340" s="44">
        <v>0.10344827586206896</v>
      </c>
      <c r="M340" s="44">
        <v>0</v>
      </c>
      <c r="N340" s="44">
        <v>0</v>
      </c>
      <c r="O340" s="44">
        <v>0.13793103448275862</v>
      </c>
      <c r="P340" s="50">
        <v>1.3862943611198906</v>
      </c>
      <c r="Q340" s="50">
        <v>0</v>
      </c>
      <c r="R340" s="50">
        <v>0</v>
      </c>
      <c r="S340" s="50">
        <v>1.6094379124341003</v>
      </c>
    </row>
    <row r="341" spans="1:19" x14ac:dyDescent="0.25">
      <c r="A341" s="44">
        <v>2018</v>
      </c>
      <c r="B341" s="44">
        <v>0</v>
      </c>
      <c r="C341" s="6">
        <v>-81.744833333333332</v>
      </c>
      <c r="D341" s="44">
        <v>1</v>
      </c>
      <c r="E341" s="44">
        <v>24.6</v>
      </c>
      <c r="F341" s="1">
        <v>1</v>
      </c>
      <c r="G341" s="44">
        <v>16</v>
      </c>
      <c r="H341" s="44">
        <v>1.25</v>
      </c>
      <c r="I341" s="44">
        <v>0</v>
      </c>
      <c r="J341" s="44">
        <v>0</v>
      </c>
      <c r="K341" s="44">
        <v>0.55000000000000004</v>
      </c>
      <c r="L341" s="44">
        <v>0.44642857142857145</v>
      </c>
      <c r="M341" s="44">
        <v>0</v>
      </c>
      <c r="N341" s="44">
        <v>0</v>
      </c>
      <c r="O341" s="44">
        <v>0.19642857142857142</v>
      </c>
      <c r="P341" s="50">
        <v>3.2580965380214821</v>
      </c>
      <c r="Q341" s="50">
        <v>0</v>
      </c>
      <c r="R341" s="50">
        <v>0</v>
      </c>
      <c r="S341" s="50">
        <v>2.4849066497880004</v>
      </c>
    </row>
    <row r="342" spans="1:19" x14ac:dyDescent="0.25">
      <c r="A342" s="44">
        <v>2018</v>
      </c>
      <c r="B342" s="44">
        <v>0</v>
      </c>
      <c r="C342" s="6">
        <v>-81.742999999999995</v>
      </c>
      <c r="D342" s="44">
        <v>1</v>
      </c>
      <c r="E342" s="44">
        <v>24.7</v>
      </c>
      <c r="F342" s="47">
        <v>1</v>
      </c>
      <c r="G342" s="44">
        <v>20</v>
      </c>
      <c r="H342" s="44">
        <v>0.05</v>
      </c>
      <c r="I342" s="44">
        <v>0.6</v>
      </c>
      <c r="J342" s="44">
        <v>0</v>
      </c>
      <c r="K342" s="44">
        <v>0.3</v>
      </c>
      <c r="L342" s="44">
        <v>0.02</v>
      </c>
      <c r="M342" s="44">
        <v>0.24</v>
      </c>
      <c r="N342" s="44">
        <v>0</v>
      </c>
      <c r="O342" s="44">
        <v>0.12</v>
      </c>
      <c r="P342" s="50">
        <v>0.69314718055994529</v>
      </c>
      <c r="Q342" s="50">
        <v>2.5649493574615367</v>
      </c>
      <c r="R342" s="50">
        <v>0</v>
      </c>
      <c r="S342" s="50">
        <v>1.9459101490553132</v>
      </c>
    </row>
    <row r="343" spans="1:19" x14ac:dyDescent="0.25">
      <c r="A343" s="44">
        <v>2018</v>
      </c>
      <c r="B343" s="44">
        <v>0</v>
      </c>
      <c r="C343" s="6">
        <v>-81.803666666666672</v>
      </c>
      <c r="D343" s="44">
        <v>1</v>
      </c>
      <c r="E343" s="44">
        <v>20.9</v>
      </c>
      <c r="F343" s="1">
        <v>0</v>
      </c>
      <c r="G343" s="44">
        <v>5</v>
      </c>
      <c r="H343" s="44">
        <v>0</v>
      </c>
      <c r="I343" s="44">
        <v>0</v>
      </c>
      <c r="J343" s="44">
        <v>0</v>
      </c>
      <c r="K343" s="44">
        <v>0.2</v>
      </c>
      <c r="L343" s="44">
        <v>0</v>
      </c>
      <c r="M343" s="44">
        <v>0</v>
      </c>
      <c r="N343" s="44">
        <v>0</v>
      </c>
      <c r="O343" s="44">
        <v>5.3333333333333337E-2</v>
      </c>
      <c r="P343" s="50">
        <v>0</v>
      </c>
      <c r="Q343" s="50">
        <v>0</v>
      </c>
      <c r="R343" s="50">
        <v>0</v>
      </c>
      <c r="S343" s="50">
        <v>1.6094379124341003</v>
      </c>
    </row>
    <row r="344" spans="1:19" x14ac:dyDescent="0.25">
      <c r="A344" s="44">
        <v>2018</v>
      </c>
      <c r="B344" s="44">
        <v>0</v>
      </c>
      <c r="C344" s="6">
        <v>-81.795666666666662</v>
      </c>
      <c r="D344" s="44">
        <v>1</v>
      </c>
      <c r="E344" s="44">
        <v>20.9</v>
      </c>
      <c r="F344" s="1">
        <v>0</v>
      </c>
      <c r="G344" s="44">
        <v>12</v>
      </c>
      <c r="H344" s="44">
        <v>0</v>
      </c>
      <c r="I344" s="44">
        <v>0</v>
      </c>
      <c r="J344" s="44">
        <v>0</v>
      </c>
      <c r="K344" s="44">
        <v>0.65</v>
      </c>
      <c r="L344" s="44">
        <v>0</v>
      </c>
      <c r="M344" s="44">
        <v>0</v>
      </c>
      <c r="N344" s="44">
        <v>0</v>
      </c>
      <c r="O344" s="44">
        <v>0.40625</v>
      </c>
      <c r="P344" s="50">
        <v>0</v>
      </c>
      <c r="Q344" s="50">
        <v>0</v>
      </c>
      <c r="R344" s="50">
        <v>0</v>
      </c>
      <c r="S344" s="50">
        <v>2.6390573296152584</v>
      </c>
    </row>
    <row r="345" spans="1:19" x14ac:dyDescent="0.25">
      <c r="A345" s="44">
        <v>2018</v>
      </c>
      <c r="B345" s="44">
        <v>0</v>
      </c>
      <c r="C345" s="6">
        <v>-81.806333333333328</v>
      </c>
      <c r="D345" s="44">
        <v>1</v>
      </c>
      <c r="E345" s="44">
        <v>20.8</v>
      </c>
      <c r="F345" s="1">
        <v>1</v>
      </c>
      <c r="G345" s="44">
        <v>16</v>
      </c>
      <c r="H345" s="44">
        <v>0</v>
      </c>
      <c r="I345" s="44">
        <v>0</v>
      </c>
      <c r="J345" s="44">
        <v>0</v>
      </c>
      <c r="K345" s="44">
        <v>0.25</v>
      </c>
      <c r="L345" s="44">
        <v>0</v>
      </c>
      <c r="M345" s="44">
        <v>0</v>
      </c>
      <c r="N345" s="44">
        <v>0</v>
      </c>
      <c r="O345" s="44">
        <v>0.12820512820512819</v>
      </c>
      <c r="P345" s="50">
        <v>0</v>
      </c>
      <c r="Q345" s="50">
        <v>0</v>
      </c>
      <c r="R345" s="50">
        <v>0</v>
      </c>
      <c r="S345" s="50">
        <v>1.791759469228055</v>
      </c>
    </row>
    <row r="346" spans="1:19" x14ac:dyDescent="0.25">
      <c r="A346" s="44">
        <v>2018</v>
      </c>
      <c r="B346" s="44">
        <v>0</v>
      </c>
      <c r="C346" s="6">
        <v>-81.822666666666663</v>
      </c>
      <c r="D346" s="44">
        <v>0</v>
      </c>
      <c r="E346" s="44">
        <v>17.600000000000001</v>
      </c>
      <c r="F346" s="21">
        <v>0</v>
      </c>
      <c r="G346" s="12">
        <v>13</v>
      </c>
      <c r="H346" s="44">
        <v>2.2000000000000002</v>
      </c>
      <c r="I346" s="44">
        <v>0.1</v>
      </c>
      <c r="J346" s="44">
        <v>0.25</v>
      </c>
      <c r="K346" s="44">
        <v>0.7</v>
      </c>
      <c r="L346" s="44">
        <v>0.31428571428571428</v>
      </c>
      <c r="M346" s="44">
        <v>1.4285714285714285E-2</v>
      </c>
      <c r="N346" s="44">
        <v>3.5714285714285712E-2</v>
      </c>
      <c r="O346" s="44">
        <v>0.1</v>
      </c>
      <c r="P346" s="50">
        <v>3.8066624897703196</v>
      </c>
      <c r="Q346" s="50">
        <v>1.0986122886681098</v>
      </c>
      <c r="R346" s="50">
        <v>1.791759469228055</v>
      </c>
      <c r="S346" s="50">
        <v>2.7080502011022101</v>
      </c>
    </row>
    <row r="347" spans="1:19" x14ac:dyDescent="0.25">
      <c r="A347" s="44">
        <v>2018</v>
      </c>
      <c r="B347" s="44">
        <v>0</v>
      </c>
      <c r="C347" s="6">
        <v>-81.821833333333331</v>
      </c>
      <c r="D347" s="44">
        <v>0</v>
      </c>
      <c r="E347" s="44">
        <v>14.4</v>
      </c>
      <c r="F347" s="21">
        <v>0</v>
      </c>
      <c r="G347" s="12">
        <v>10</v>
      </c>
      <c r="H347" s="44">
        <v>1.25</v>
      </c>
      <c r="I347" s="44">
        <v>0.05</v>
      </c>
      <c r="J347" s="44">
        <v>0.25</v>
      </c>
      <c r="K347" s="44">
        <v>0.1</v>
      </c>
      <c r="L347" s="44">
        <v>0.27173913043478259</v>
      </c>
      <c r="M347" s="44">
        <v>1.0869565217391304E-2</v>
      </c>
      <c r="N347" s="44">
        <v>5.434782608695652E-2</v>
      </c>
      <c r="O347" s="44">
        <v>2.1739130434782608E-2</v>
      </c>
      <c r="P347" s="50">
        <v>3.2580965380214821</v>
      </c>
      <c r="Q347" s="50">
        <v>0.69314718055994529</v>
      </c>
      <c r="R347" s="50">
        <v>1.791759469228055</v>
      </c>
      <c r="S347" s="50">
        <v>1.0986122886681098</v>
      </c>
    </row>
    <row r="348" spans="1:19" x14ac:dyDescent="0.25">
      <c r="A348" s="44">
        <v>2018</v>
      </c>
      <c r="B348" s="44">
        <v>0</v>
      </c>
      <c r="C348" s="6">
        <v>-82.150666666666666</v>
      </c>
      <c r="D348" s="44">
        <v>1</v>
      </c>
      <c r="E348" s="44">
        <v>21.7</v>
      </c>
      <c r="F348" s="1">
        <v>0</v>
      </c>
      <c r="G348" s="44">
        <v>9</v>
      </c>
      <c r="H348" s="44">
        <v>0.2</v>
      </c>
      <c r="I348" s="44">
        <v>0</v>
      </c>
      <c r="J348" s="44">
        <v>0</v>
      </c>
      <c r="K348" s="44">
        <v>0.4</v>
      </c>
      <c r="L348" s="44">
        <v>3.9603960396039604E-2</v>
      </c>
      <c r="M348" s="44">
        <v>0</v>
      </c>
      <c r="N348" s="44">
        <v>0</v>
      </c>
      <c r="O348" s="44">
        <v>7.9207920792079209E-2</v>
      </c>
      <c r="P348" s="50">
        <v>1.6094379124341003</v>
      </c>
      <c r="Q348" s="50">
        <v>0</v>
      </c>
      <c r="R348" s="50">
        <v>0</v>
      </c>
      <c r="S348" s="50">
        <v>2.1972245773362196</v>
      </c>
    </row>
    <row r="349" spans="1:19" x14ac:dyDescent="0.25">
      <c r="A349" s="44">
        <v>2018</v>
      </c>
      <c r="B349" s="44">
        <v>0</v>
      </c>
      <c r="C349" s="6">
        <v>-82.174499999999995</v>
      </c>
      <c r="D349" s="44">
        <v>1</v>
      </c>
      <c r="E349" s="44">
        <v>21.4</v>
      </c>
      <c r="F349" s="1">
        <v>0</v>
      </c>
      <c r="G349" s="44">
        <v>12</v>
      </c>
      <c r="H349" s="44">
        <v>0</v>
      </c>
      <c r="I349" s="44">
        <v>0</v>
      </c>
      <c r="J349" s="44">
        <v>0</v>
      </c>
      <c r="K349" s="44">
        <v>0.15</v>
      </c>
      <c r="L349" s="44">
        <v>0</v>
      </c>
      <c r="M349" s="44">
        <v>0</v>
      </c>
      <c r="N349" s="44">
        <v>0</v>
      </c>
      <c r="O349" s="44">
        <v>0.06</v>
      </c>
      <c r="P349" s="50">
        <v>0</v>
      </c>
      <c r="Q349" s="50">
        <v>0</v>
      </c>
      <c r="R349" s="50">
        <v>0</v>
      </c>
      <c r="S349" s="50">
        <v>1.3862943611198906</v>
      </c>
    </row>
    <row r="350" spans="1:19" x14ac:dyDescent="0.25">
      <c r="A350" s="44">
        <v>2018</v>
      </c>
      <c r="B350" s="44">
        <v>0</v>
      </c>
      <c r="C350" s="6">
        <v>-82.155166666666673</v>
      </c>
      <c r="D350" s="44">
        <v>1</v>
      </c>
      <c r="E350" s="44">
        <v>21.6</v>
      </c>
      <c r="F350" s="1">
        <v>1</v>
      </c>
      <c r="G350" s="44">
        <v>16</v>
      </c>
      <c r="H350" s="44">
        <v>0.15</v>
      </c>
      <c r="I350" s="44">
        <v>0</v>
      </c>
      <c r="J350" s="44">
        <v>0</v>
      </c>
      <c r="K350" s="44">
        <v>0.95</v>
      </c>
      <c r="L350" s="44">
        <v>1.1952191235059761E-2</v>
      </c>
      <c r="M350" s="44">
        <v>0</v>
      </c>
      <c r="N350" s="44">
        <v>0</v>
      </c>
      <c r="O350" s="44">
        <v>7.5697211155378488E-2</v>
      </c>
      <c r="P350" s="50">
        <v>1.3862943611198906</v>
      </c>
      <c r="Q350" s="50">
        <v>0</v>
      </c>
      <c r="R350" s="50">
        <v>0</v>
      </c>
      <c r="S350" s="50">
        <v>2.9957322735539909</v>
      </c>
    </row>
    <row r="351" spans="1:19" x14ac:dyDescent="0.25">
      <c r="A351" s="44">
        <v>2018</v>
      </c>
      <c r="B351" s="44">
        <v>0</v>
      </c>
      <c r="C351" s="6">
        <v>-82.177999999999997</v>
      </c>
      <c r="D351" s="44">
        <v>1</v>
      </c>
      <c r="E351" s="44">
        <v>21.5</v>
      </c>
      <c r="F351" s="47">
        <v>1</v>
      </c>
      <c r="G351" s="44">
        <v>18</v>
      </c>
      <c r="H351" s="44">
        <v>0.5</v>
      </c>
      <c r="I351" s="44">
        <v>0</v>
      </c>
      <c r="J351" s="44">
        <v>0.05</v>
      </c>
      <c r="K351" s="44">
        <v>1.45</v>
      </c>
      <c r="L351" s="44">
        <v>0.10416666666666667</v>
      </c>
      <c r="M351" s="44">
        <v>0</v>
      </c>
      <c r="N351" s="44">
        <v>1.0416666666666666E-2</v>
      </c>
      <c r="O351" s="44">
        <v>0.30208333333333331</v>
      </c>
      <c r="P351" s="50">
        <v>2.3978952727983707</v>
      </c>
      <c r="Q351" s="50">
        <v>0</v>
      </c>
      <c r="R351" s="50">
        <v>0.69314718055994529</v>
      </c>
      <c r="S351" s="50">
        <v>3.4011973816621555</v>
      </c>
    </row>
    <row r="352" spans="1:19" x14ac:dyDescent="0.25">
      <c r="A352" s="44">
        <v>2018</v>
      </c>
      <c r="B352" s="44">
        <v>0</v>
      </c>
      <c r="C352" s="6">
        <v>-82.19616666666667</v>
      </c>
      <c r="D352" s="44">
        <v>1</v>
      </c>
      <c r="E352" s="44">
        <v>21.7</v>
      </c>
      <c r="F352" s="1">
        <v>0</v>
      </c>
      <c r="G352" s="44">
        <v>6</v>
      </c>
      <c r="H352" s="44">
        <v>0</v>
      </c>
      <c r="I352" s="44">
        <v>0</v>
      </c>
      <c r="J352" s="44">
        <v>0.05</v>
      </c>
      <c r="K352" s="44">
        <v>0.9</v>
      </c>
      <c r="L352" s="44">
        <v>0</v>
      </c>
      <c r="M352" s="44">
        <v>0</v>
      </c>
      <c r="N352" s="44">
        <v>3.472222222222222E-3</v>
      </c>
      <c r="O352" s="44">
        <v>6.25E-2</v>
      </c>
      <c r="P352" s="50">
        <v>0</v>
      </c>
      <c r="Q352" s="50">
        <v>0</v>
      </c>
      <c r="R352" s="50">
        <v>0.69314718055994529</v>
      </c>
      <c r="S352" s="50">
        <v>2.9444389791664403</v>
      </c>
    </row>
    <row r="353" spans="1:19" x14ac:dyDescent="0.25">
      <c r="A353" s="44">
        <v>2018</v>
      </c>
      <c r="B353" s="44">
        <v>0</v>
      </c>
      <c r="C353" s="6">
        <v>-82.224999999999994</v>
      </c>
      <c r="D353" s="44">
        <v>1</v>
      </c>
      <c r="E353" s="44">
        <v>21.1</v>
      </c>
      <c r="F353" s="1">
        <v>0</v>
      </c>
      <c r="G353" s="44">
        <v>12</v>
      </c>
      <c r="H353" s="44">
        <v>0</v>
      </c>
      <c r="I353" s="44">
        <v>0</v>
      </c>
      <c r="J353" s="44">
        <v>0</v>
      </c>
      <c r="K353" s="44">
        <v>1.75</v>
      </c>
      <c r="L353" s="44">
        <v>0</v>
      </c>
      <c r="M353" s="44">
        <v>0</v>
      </c>
      <c r="N353" s="44">
        <v>0</v>
      </c>
      <c r="O353" s="44">
        <v>0.11945392491467577</v>
      </c>
      <c r="P353" s="50">
        <v>0</v>
      </c>
      <c r="Q353" s="50">
        <v>0</v>
      </c>
      <c r="R353" s="50">
        <v>0</v>
      </c>
      <c r="S353" s="50">
        <v>3.5835189384561099</v>
      </c>
    </row>
    <row r="354" spans="1:19" x14ac:dyDescent="0.25">
      <c r="A354" s="44">
        <v>2018</v>
      </c>
      <c r="B354" s="44">
        <v>0</v>
      </c>
      <c r="C354" s="6">
        <v>-82.24633333333334</v>
      </c>
      <c r="D354" s="44">
        <v>1</v>
      </c>
      <c r="E354" s="44">
        <v>21</v>
      </c>
      <c r="F354" s="1">
        <v>1</v>
      </c>
      <c r="G354" s="44">
        <v>16</v>
      </c>
      <c r="H354" s="44">
        <v>0.15</v>
      </c>
      <c r="I354" s="44">
        <v>0</v>
      </c>
      <c r="J354" s="44">
        <v>0</v>
      </c>
      <c r="K354" s="44">
        <v>10.25</v>
      </c>
      <c r="L354" s="44">
        <v>1.0676156583629894E-2</v>
      </c>
      <c r="M354" s="44">
        <v>0</v>
      </c>
      <c r="N354" s="44">
        <v>0</v>
      </c>
      <c r="O354" s="44">
        <v>0.72953736654804269</v>
      </c>
      <c r="P354" s="50">
        <v>1.3862943611198906</v>
      </c>
      <c r="Q354" s="50">
        <v>0</v>
      </c>
      <c r="R354" s="50">
        <v>0</v>
      </c>
      <c r="S354" s="50">
        <v>5.3278761687895813</v>
      </c>
    </row>
    <row r="355" spans="1:19" x14ac:dyDescent="0.25">
      <c r="A355" s="44">
        <v>2018</v>
      </c>
      <c r="B355" s="44">
        <v>0</v>
      </c>
      <c r="C355" s="6">
        <v>-82.24166666666666</v>
      </c>
      <c r="D355" s="44">
        <v>0</v>
      </c>
      <c r="E355" s="44">
        <v>17</v>
      </c>
      <c r="F355" s="1">
        <v>0</v>
      </c>
      <c r="G355" s="44">
        <v>8</v>
      </c>
      <c r="H355" s="44">
        <v>0</v>
      </c>
      <c r="I355" s="44">
        <v>0</v>
      </c>
      <c r="J355" s="44">
        <v>0.85</v>
      </c>
      <c r="K355" s="44">
        <v>0.25</v>
      </c>
      <c r="L355" s="44">
        <v>0</v>
      </c>
      <c r="M355" s="44">
        <v>0</v>
      </c>
      <c r="N355" s="44">
        <v>6.5384615384615388E-2</v>
      </c>
      <c r="O355" s="44">
        <v>1.9230769230769232E-2</v>
      </c>
      <c r="P355" s="50">
        <v>0</v>
      </c>
      <c r="Q355" s="50">
        <v>0</v>
      </c>
      <c r="R355" s="50">
        <v>2.8903717578961645</v>
      </c>
      <c r="S355" s="50">
        <v>1.791759469228055</v>
      </c>
    </row>
    <row r="356" spans="1:19" x14ac:dyDescent="0.25">
      <c r="A356" s="44">
        <v>2018</v>
      </c>
      <c r="B356" s="44">
        <v>0</v>
      </c>
      <c r="C356" s="6">
        <v>-82.257499999999993</v>
      </c>
      <c r="D356" s="44">
        <v>0</v>
      </c>
      <c r="E356" s="44">
        <v>14.1</v>
      </c>
      <c r="F356" s="1">
        <v>0</v>
      </c>
      <c r="G356" s="44">
        <v>12</v>
      </c>
      <c r="H356" s="44">
        <v>0</v>
      </c>
      <c r="I356" s="44">
        <v>0.1</v>
      </c>
      <c r="J356" s="44">
        <v>0.15</v>
      </c>
      <c r="K356" s="44">
        <v>0.2</v>
      </c>
      <c r="L356" s="44">
        <v>0</v>
      </c>
      <c r="M356" s="44">
        <v>1.5625E-2</v>
      </c>
      <c r="N356" s="44">
        <v>2.34375E-2</v>
      </c>
      <c r="O356" s="44">
        <v>3.125E-2</v>
      </c>
      <c r="P356" s="50">
        <v>0</v>
      </c>
      <c r="Q356" s="50">
        <v>1.0986122886681098</v>
      </c>
      <c r="R356" s="50">
        <v>1.3862943611198906</v>
      </c>
      <c r="S356" s="50">
        <v>1.6094379124341003</v>
      </c>
    </row>
    <row r="357" spans="1:19" x14ac:dyDescent="0.25">
      <c r="A357" s="44">
        <v>2019</v>
      </c>
      <c r="B357" s="44">
        <v>1</v>
      </c>
      <c r="C357" s="6">
        <v>-81.007000000000005</v>
      </c>
      <c r="D357" s="44">
        <v>0</v>
      </c>
      <c r="E357" s="44">
        <v>13.5</v>
      </c>
      <c r="F357" s="1">
        <v>0</v>
      </c>
      <c r="G357" s="44">
        <v>5</v>
      </c>
      <c r="H357" s="44">
        <v>10.7</v>
      </c>
      <c r="I357" s="44">
        <v>0</v>
      </c>
      <c r="J357" s="44">
        <v>0</v>
      </c>
      <c r="K357" s="44">
        <v>11.45</v>
      </c>
      <c r="L357" s="44">
        <v>0.48306997742663654</v>
      </c>
      <c r="M357" s="44">
        <v>0</v>
      </c>
      <c r="N357" s="44">
        <v>0</v>
      </c>
      <c r="O357" s="44">
        <v>0.5169300225733634</v>
      </c>
      <c r="P357" s="50">
        <v>5.3706380281276624</v>
      </c>
      <c r="Q357" s="50">
        <v>0</v>
      </c>
      <c r="R357" s="50">
        <v>0</v>
      </c>
      <c r="S357" s="50">
        <v>5.4380793089231956</v>
      </c>
    </row>
    <row r="358" spans="1:19" x14ac:dyDescent="0.25">
      <c r="A358" s="44">
        <v>2019</v>
      </c>
      <c r="B358" s="44">
        <v>1</v>
      </c>
      <c r="C358" s="6">
        <v>-81.000166666666672</v>
      </c>
      <c r="D358" s="44">
        <v>0</v>
      </c>
      <c r="E358" s="44">
        <v>15.9</v>
      </c>
      <c r="F358" s="1">
        <v>0</v>
      </c>
      <c r="G358" s="44">
        <v>10</v>
      </c>
      <c r="H358" s="44">
        <v>23.25</v>
      </c>
      <c r="I358" s="44">
        <v>0.15</v>
      </c>
      <c r="J358" s="44">
        <v>0</v>
      </c>
      <c r="K358" s="44">
        <v>10.9</v>
      </c>
      <c r="L358" s="44">
        <v>0.67587209302325579</v>
      </c>
      <c r="M358" s="44">
        <v>4.3604651162790697E-3</v>
      </c>
      <c r="N358" s="44">
        <v>0</v>
      </c>
      <c r="O358" s="44">
        <v>0.31686046511627908</v>
      </c>
      <c r="P358" s="50">
        <v>6.1441856341256456</v>
      </c>
      <c r="Q358" s="50">
        <v>1.3862943611198906</v>
      </c>
      <c r="R358" s="50">
        <v>0</v>
      </c>
      <c r="S358" s="50">
        <v>5.389071729816501</v>
      </c>
    </row>
    <row r="359" spans="1:19" x14ac:dyDescent="0.25">
      <c r="A359" s="44">
        <v>2019</v>
      </c>
      <c r="B359" s="44">
        <v>1</v>
      </c>
      <c r="C359" s="6">
        <v>-80.972999999999999</v>
      </c>
      <c r="D359" s="44">
        <v>1</v>
      </c>
      <c r="E359" s="44">
        <v>19.8</v>
      </c>
      <c r="F359" s="47">
        <v>0</v>
      </c>
      <c r="G359" s="12">
        <v>5</v>
      </c>
      <c r="H359" s="44">
        <v>1.2</v>
      </c>
      <c r="I359" s="44">
        <v>0</v>
      </c>
      <c r="J359" s="44">
        <v>0</v>
      </c>
      <c r="K359" s="44">
        <v>4.3499999999999996</v>
      </c>
      <c r="L359" s="44">
        <v>0.21621621621621623</v>
      </c>
      <c r="M359" s="44">
        <v>0</v>
      </c>
      <c r="N359" s="44">
        <v>0</v>
      </c>
      <c r="O359" s="44">
        <v>0.78378378378378377</v>
      </c>
      <c r="P359" s="50">
        <v>3.2188758248682006</v>
      </c>
      <c r="Q359" s="50">
        <v>0</v>
      </c>
      <c r="R359" s="50">
        <v>0</v>
      </c>
      <c r="S359" s="50">
        <v>4.4773368144782069</v>
      </c>
    </row>
    <row r="360" spans="1:19" x14ac:dyDescent="0.25">
      <c r="A360" s="44">
        <v>2019</v>
      </c>
      <c r="B360" s="44">
        <v>1</v>
      </c>
      <c r="C360" s="6">
        <v>-80.964833333333331</v>
      </c>
      <c r="D360" s="44">
        <v>1</v>
      </c>
      <c r="E360" s="44">
        <v>19.7</v>
      </c>
      <c r="F360" s="47">
        <v>0</v>
      </c>
      <c r="G360" s="44">
        <v>9</v>
      </c>
      <c r="H360" s="44">
        <v>28.45</v>
      </c>
      <c r="I360" s="44">
        <v>0</v>
      </c>
      <c r="J360" s="44">
        <v>0</v>
      </c>
      <c r="K360" s="44">
        <v>6.1</v>
      </c>
      <c r="L360" s="44">
        <v>0.8222543352601156</v>
      </c>
      <c r="M360" s="44">
        <v>0</v>
      </c>
      <c r="N360" s="44">
        <v>0</v>
      </c>
      <c r="O360" s="44">
        <v>0.17630057803468208</v>
      </c>
      <c r="P360" s="50">
        <v>6.3456363608285962</v>
      </c>
      <c r="Q360" s="50">
        <v>0</v>
      </c>
      <c r="R360" s="50">
        <v>0</v>
      </c>
      <c r="S360" s="50">
        <v>4.8121843553724171</v>
      </c>
    </row>
    <row r="361" spans="1:19" x14ac:dyDescent="0.25">
      <c r="A361" s="44">
        <v>2019</v>
      </c>
      <c r="B361" s="44">
        <v>1</v>
      </c>
      <c r="C361" s="6">
        <v>-80.974666666666664</v>
      </c>
      <c r="D361" s="44">
        <v>0</v>
      </c>
      <c r="E361" s="44">
        <v>19.2</v>
      </c>
      <c r="F361" s="1">
        <v>0</v>
      </c>
      <c r="G361" s="44">
        <v>10</v>
      </c>
      <c r="H361" s="44">
        <v>6.2</v>
      </c>
      <c r="I361" s="44">
        <v>0</v>
      </c>
      <c r="J361" s="44">
        <v>0</v>
      </c>
      <c r="K361" s="44">
        <v>0.55000000000000004</v>
      </c>
      <c r="L361" s="44">
        <v>0.91176470588235292</v>
      </c>
      <c r="M361" s="44">
        <v>0</v>
      </c>
      <c r="N361" s="44">
        <v>0</v>
      </c>
      <c r="O361" s="44">
        <v>8.0882352941176475E-2</v>
      </c>
      <c r="P361" s="50">
        <v>4.8283137373023015</v>
      </c>
      <c r="Q361" s="50">
        <v>0</v>
      </c>
      <c r="R361" s="50">
        <v>0</v>
      </c>
      <c r="S361" s="50">
        <v>2.4849066497880004</v>
      </c>
    </row>
    <row r="362" spans="1:19" x14ac:dyDescent="0.25">
      <c r="A362" s="44">
        <v>2019</v>
      </c>
      <c r="B362" s="44">
        <v>1</v>
      </c>
      <c r="C362" s="6">
        <v>-80.917666666666662</v>
      </c>
      <c r="D362" s="44">
        <v>1</v>
      </c>
      <c r="E362" s="44">
        <v>21.6</v>
      </c>
      <c r="F362" s="1">
        <v>0</v>
      </c>
      <c r="G362" s="44">
        <v>5</v>
      </c>
      <c r="H362" s="44">
        <v>4.4000000000000004</v>
      </c>
      <c r="I362" s="44">
        <v>0</v>
      </c>
      <c r="J362" s="44">
        <v>0</v>
      </c>
      <c r="K362" s="44">
        <v>1.3</v>
      </c>
      <c r="L362" s="44">
        <v>0.77192982456140347</v>
      </c>
      <c r="M362" s="44">
        <v>0</v>
      </c>
      <c r="N362" s="44">
        <v>0</v>
      </c>
      <c r="O362" s="44">
        <v>0.22807017543859648</v>
      </c>
      <c r="P362" s="50">
        <v>4.4886363697321396</v>
      </c>
      <c r="Q362" s="50">
        <v>0</v>
      </c>
      <c r="R362" s="50">
        <v>0</v>
      </c>
      <c r="S362" s="50">
        <v>3.2958368660043291</v>
      </c>
    </row>
    <row r="363" spans="1:19" x14ac:dyDescent="0.25">
      <c r="A363" s="44">
        <v>2019</v>
      </c>
      <c r="B363" s="44">
        <v>1</v>
      </c>
      <c r="C363" s="6">
        <v>-80.912999999999997</v>
      </c>
      <c r="D363" s="44">
        <v>1</v>
      </c>
      <c r="E363" s="44">
        <v>21.8</v>
      </c>
      <c r="F363" s="1">
        <v>0</v>
      </c>
      <c r="G363" s="44">
        <v>8</v>
      </c>
      <c r="H363" s="44">
        <v>6.85</v>
      </c>
      <c r="I363" s="44">
        <v>0</v>
      </c>
      <c r="J363" s="44">
        <v>0</v>
      </c>
      <c r="K363" s="44">
        <v>1.1499999999999999</v>
      </c>
      <c r="L363" s="44">
        <v>0.85624999999999996</v>
      </c>
      <c r="M363" s="44">
        <v>0</v>
      </c>
      <c r="N363" s="44">
        <v>0</v>
      </c>
      <c r="O363" s="44">
        <v>0.14374999999999999</v>
      </c>
      <c r="P363" s="50">
        <v>4.9272536851572051</v>
      </c>
      <c r="Q363" s="50">
        <v>0</v>
      </c>
      <c r="R363" s="50">
        <v>0</v>
      </c>
      <c r="S363" s="50">
        <v>3.1780538303479458</v>
      </c>
    </row>
    <row r="364" spans="1:19" x14ac:dyDescent="0.25">
      <c r="A364" s="44">
        <v>2019</v>
      </c>
      <c r="B364" s="44">
        <v>1</v>
      </c>
      <c r="C364" s="6">
        <v>-80.918333333333337</v>
      </c>
      <c r="D364" s="44">
        <v>1</v>
      </c>
      <c r="E364" s="44">
        <v>21.7</v>
      </c>
      <c r="F364" s="1">
        <v>0</v>
      </c>
      <c r="G364" s="44">
        <v>15</v>
      </c>
      <c r="H364" s="44">
        <v>2.1</v>
      </c>
      <c r="I364" s="44">
        <v>0</v>
      </c>
      <c r="J364" s="44">
        <v>0</v>
      </c>
      <c r="K364" s="44">
        <v>0.15</v>
      </c>
      <c r="L364" s="44">
        <v>0.93333333333333335</v>
      </c>
      <c r="M364" s="44">
        <v>0</v>
      </c>
      <c r="N364" s="44">
        <v>0</v>
      </c>
      <c r="O364" s="44">
        <v>6.6666666666666666E-2</v>
      </c>
      <c r="P364" s="50">
        <v>3.7612001156935624</v>
      </c>
      <c r="Q364" s="50">
        <v>0</v>
      </c>
      <c r="R364" s="50">
        <v>0</v>
      </c>
      <c r="S364" s="50">
        <v>1.3862943611198906</v>
      </c>
    </row>
    <row r="365" spans="1:19" x14ac:dyDescent="0.25">
      <c r="A365" s="44">
        <v>2019</v>
      </c>
      <c r="B365" s="44">
        <v>1</v>
      </c>
      <c r="C365" s="6">
        <v>-80.913666666666671</v>
      </c>
      <c r="D365" s="44">
        <v>1</v>
      </c>
      <c r="E365" s="44">
        <v>21.9</v>
      </c>
      <c r="F365" s="1">
        <v>1</v>
      </c>
      <c r="G365" s="44">
        <v>17</v>
      </c>
      <c r="H365" s="44">
        <v>1.2</v>
      </c>
      <c r="I365" s="44">
        <v>0</v>
      </c>
      <c r="J365" s="44">
        <v>0</v>
      </c>
      <c r="K365" s="44">
        <v>0</v>
      </c>
      <c r="L365" s="44">
        <v>1</v>
      </c>
      <c r="M365" s="44">
        <v>0</v>
      </c>
      <c r="N365" s="44">
        <v>0</v>
      </c>
      <c r="O365" s="44">
        <v>0</v>
      </c>
      <c r="P365" s="50">
        <v>3.2188758248682006</v>
      </c>
      <c r="Q365" s="50">
        <v>0</v>
      </c>
      <c r="R365" s="50">
        <v>0</v>
      </c>
      <c r="S365" s="50">
        <v>0</v>
      </c>
    </row>
    <row r="366" spans="1:19" x14ac:dyDescent="0.25">
      <c r="A366" s="44">
        <v>2019</v>
      </c>
      <c r="B366" s="44">
        <v>1</v>
      </c>
      <c r="C366" s="6">
        <v>-81.467500000000001</v>
      </c>
      <c r="D366" s="44">
        <v>0</v>
      </c>
      <c r="E366" s="44">
        <v>12.1</v>
      </c>
      <c r="F366" s="1">
        <v>0</v>
      </c>
      <c r="G366" s="44">
        <v>6</v>
      </c>
      <c r="H366" s="44">
        <v>5.8</v>
      </c>
      <c r="I366" s="44">
        <v>0</v>
      </c>
      <c r="J366" s="44">
        <v>0</v>
      </c>
      <c r="K366" s="44">
        <v>1.85</v>
      </c>
      <c r="L366" s="44">
        <v>0.74838709677419357</v>
      </c>
      <c r="M366" s="44">
        <v>0</v>
      </c>
      <c r="N366" s="44">
        <v>0</v>
      </c>
      <c r="O366" s="44">
        <v>0.23870967741935484</v>
      </c>
      <c r="P366" s="50">
        <v>4.7621739347977563</v>
      </c>
      <c r="Q366" s="50">
        <v>0</v>
      </c>
      <c r="R366" s="50">
        <v>0</v>
      </c>
      <c r="S366" s="50">
        <v>3.6375861597263857</v>
      </c>
    </row>
    <row r="367" spans="1:19" x14ac:dyDescent="0.25">
      <c r="A367" s="44">
        <v>2019</v>
      </c>
      <c r="B367" s="44">
        <v>1</v>
      </c>
      <c r="C367" s="6">
        <v>-81.457833333333326</v>
      </c>
      <c r="D367" s="44">
        <v>0</v>
      </c>
      <c r="E367" s="44">
        <v>16</v>
      </c>
      <c r="F367" s="1">
        <v>0</v>
      </c>
      <c r="G367" s="44">
        <v>9</v>
      </c>
      <c r="H367" s="44">
        <v>0.85</v>
      </c>
      <c r="I367" s="44">
        <v>0.25</v>
      </c>
      <c r="J367" s="44">
        <v>0</v>
      </c>
      <c r="K367" s="44">
        <v>0.5</v>
      </c>
      <c r="L367" s="44">
        <v>0.47222222222222221</v>
      </c>
      <c r="M367" s="44">
        <v>0.1388888888888889</v>
      </c>
      <c r="N367" s="44">
        <v>0</v>
      </c>
      <c r="O367" s="44">
        <v>0.27777777777777779</v>
      </c>
      <c r="P367" s="50">
        <v>2.8903717578961645</v>
      </c>
      <c r="Q367" s="50">
        <v>1.791759469228055</v>
      </c>
      <c r="R367" s="50">
        <v>0</v>
      </c>
      <c r="S367" s="50">
        <v>2.3978952727983707</v>
      </c>
    </row>
    <row r="368" spans="1:19" x14ac:dyDescent="0.25">
      <c r="A368" s="44">
        <v>2019</v>
      </c>
      <c r="B368" s="44">
        <v>1</v>
      </c>
      <c r="C368" s="6">
        <v>-81.4345</v>
      </c>
      <c r="D368" s="44">
        <v>1</v>
      </c>
      <c r="E368" s="44">
        <v>20.5</v>
      </c>
      <c r="F368" s="1">
        <v>0</v>
      </c>
      <c r="G368" s="44">
        <v>7</v>
      </c>
      <c r="H368" s="44">
        <v>6.45</v>
      </c>
      <c r="I368" s="44">
        <v>0</v>
      </c>
      <c r="J368" s="44">
        <v>0</v>
      </c>
      <c r="K368" s="44">
        <v>1.05</v>
      </c>
      <c r="L368" s="44">
        <v>0.86</v>
      </c>
      <c r="M368" s="44">
        <v>0</v>
      </c>
      <c r="N368" s="44">
        <v>0</v>
      </c>
      <c r="O368" s="44">
        <v>0.14000000000000001</v>
      </c>
      <c r="P368" s="50">
        <v>4.8675344504555822</v>
      </c>
      <c r="Q368" s="50">
        <v>0</v>
      </c>
      <c r="R368" s="50">
        <v>0</v>
      </c>
      <c r="S368" s="50">
        <v>3.0910424533583161</v>
      </c>
    </row>
    <row r="369" spans="1:19" x14ac:dyDescent="0.25">
      <c r="A369" s="44">
        <v>2019</v>
      </c>
      <c r="B369" s="44">
        <v>1</v>
      </c>
      <c r="C369" s="6">
        <v>-81.42616666666666</v>
      </c>
      <c r="D369" s="44">
        <v>1</v>
      </c>
      <c r="E369" s="44">
        <v>21.7</v>
      </c>
      <c r="F369" s="1">
        <v>0</v>
      </c>
      <c r="G369" s="44">
        <v>9</v>
      </c>
      <c r="H369" s="44">
        <v>21.35</v>
      </c>
      <c r="I369" s="44">
        <v>0.55000000000000004</v>
      </c>
      <c r="J369" s="44">
        <v>0</v>
      </c>
      <c r="K369" s="44">
        <v>0.65</v>
      </c>
      <c r="L369" s="44">
        <v>0.94469026548672563</v>
      </c>
      <c r="M369" s="44">
        <v>2.4336283185840708E-2</v>
      </c>
      <c r="N369" s="44">
        <v>0</v>
      </c>
      <c r="O369" s="44">
        <v>2.8761061946902654E-2</v>
      </c>
      <c r="P369" s="50">
        <v>6.0591231955817966</v>
      </c>
      <c r="Q369" s="50">
        <v>2.4849066497880004</v>
      </c>
      <c r="R369" s="50">
        <v>0</v>
      </c>
      <c r="S369" s="50">
        <v>2.6390573296152584</v>
      </c>
    </row>
    <row r="370" spans="1:19" x14ac:dyDescent="0.25">
      <c r="A370" s="44">
        <v>2019</v>
      </c>
      <c r="B370" s="44">
        <v>1</v>
      </c>
      <c r="C370" s="6">
        <v>-81.414166666666674</v>
      </c>
      <c r="D370" s="44">
        <v>1</v>
      </c>
      <c r="E370" s="44">
        <v>22.2</v>
      </c>
      <c r="F370" s="1">
        <v>0</v>
      </c>
      <c r="G370" s="44">
        <v>12</v>
      </c>
      <c r="H370" s="44">
        <v>10.15</v>
      </c>
      <c r="I370" s="44">
        <v>1.45</v>
      </c>
      <c r="J370" s="44">
        <v>0</v>
      </c>
      <c r="K370" s="44">
        <v>0.4</v>
      </c>
      <c r="L370" s="44">
        <v>0.84232365145228216</v>
      </c>
      <c r="M370" s="44">
        <v>0.12033195020746888</v>
      </c>
      <c r="N370" s="44">
        <v>0</v>
      </c>
      <c r="O370" s="44">
        <v>3.3195020746887967E-2</v>
      </c>
      <c r="P370" s="50">
        <v>5.3181199938442161</v>
      </c>
      <c r="Q370" s="50">
        <v>3.4011973816621555</v>
      </c>
      <c r="R370" s="50">
        <v>0</v>
      </c>
      <c r="S370" s="50">
        <v>2.1972245773362196</v>
      </c>
    </row>
    <row r="371" spans="1:19" x14ac:dyDescent="0.25">
      <c r="A371" s="44">
        <v>2019</v>
      </c>
      <c r="B371" s="44">
        <v>1</v>
      </c>
      <c r="C371" s="6">
        <v>-81.375166666666672</v>
      </c>
      <c r="D371" s="44">
        <v>1</v>
      </c>
      <c r="E371" s="44">
        <v>23.2</v>
      </c>
      <c r="F371" s="1">
        <v>0</v>
      </c>
      <c r="G371" s="44">
        <v>7</v>
      </c>
      <c r="H371" s="44">
        <v>6.25</v>
      </c>
      <c r="I371" s="44">
        <v>0</v>
      </c>
      <c r="J371" s="44">
        <v>0</v>
      </c>
      <c r="K371" s="44">
        <v>2.15</v>
      </c>
      <c r="L371" s="44">
        <v>0.73529411764705888</v>
      </c>
      <c r="M371" s="44">
        <v>0</v>
      </c>
      <c r="N371" s="44">
        <v>0</v>
      </c>
      <c r="O371" s="44">
        <v>0.25294117647058822</v>
      </c>
      <c r="P371" s="50">
        <v>4.836281906951478</v>
      </c>
      <c r="Q371" s="50">
        <v>0</v>
      </c>
      <c r="R371" s="50">
        <v>0</v>
      </c>
      <c r="S371" s="50">
        <v>3.784189633918261</v>
      </c>
    </row>
    <row r="372" spans="1:19" x14ac:dyDescent="0.25">
      <c r="A372" s="44">
        <v>2019</v>
      </c>
      <c r="B372" s="44">
        <v>1</v>
      </c>
      <c r="C372" s="6">
        <v>-81.371499999999997</v>
      </c>
      <c r="D372" s="44">
        <v>1</v>
      </c>
      <c r="E372" s="44">
        <v>23.4</v>
      </c>
      <c r="F372" s="1">
        <v>0</v>
      </c>
      <c r="G372" s="44">
        <v>11</v>
      </c>
      <c r="H372" s="44">
        <v>11.15</v>
      </c>
      <c r="I372" s="44">
        <v>0</v>
      </c>
      <c r="J372" s="44">
        <v>0</v>
      </c>
      <c r="K372" s="44">
        <v>1.25</v>
      </c>
      <c r="L372" s="44">
        <v>0.89919354838709675</v>
      </c>
      <c r="M372" s="44">
        <v>0</v>
      </c>
      <c r="N372" s="44">
        <v>0</v>
      </c>
      <c r="O372" s="44">
        <v>0.10080645161290322</v>
      </c>
      <c r="P372" s="50">
        <v>5.4116460518550396</v>
      </c>
      <c r="Q372" s="50">
        <v>0</v>
      </c>
      <c r="R372" s="50">
        <v>0</v>
      </c>
      <c r="S372" s="50">
        <v>3.2580965380214821</v>
      </c>
    </row>
    <row r="373" spans="1:19" x14ac:dyDescent="0.25">
      <c r="A373" s="44">
        <v>2019</v>
      </c>
      <c r="B373" s="44">
        <v>1</v>
      </c>
      <c r="C373" s="6">
        <v>-81.373833333333337</v>
      </c>
      <c r="D373" s="44">
        <v>1</v>
      </c>
      <c r="E373" s="44">
        <v>23.6</v>
      </c>
      <c r="F373" s="1">
        <v>0</v>
      </c>
      <c r="G373" s="44">
        <v>13</v>
      </c>
      <c r="H373" s="44">
        <v>4.2</v>
      </c>
      <c r="I373" s="44">
        <v>0</v>
      </c>
      <c r="J373" s="44">
        <v>0</v>
      </c>
      <c r="K373" s="44">
        <v>0.05</v>
      </c>
      <c r="L373" s="44">
        <v>0.9882352941176471</v>
      </c>
      <c r="M373" s="44">
        <v>0</v>
      </c>
      <c r="N373" s="44">
        <v>0</v>
      </c>
      <c r="O373" s="44">
        <v>1.1764705882352941E-2</v>
      </c>
      <c r="P373" s="50">
        <v>4.4426512564903167</v>
      </c>
      <c r="Q373" s="50">
        <v>0</v>
      </c>
      <c r="R373" s="50">
        <v>0</v>
      </c>
      <c r="S373" s="50">
        <v>0.69314718055994529</v>
      </c>
    </row>
    <row r="374" spans="1:19" x14ac:dyDescent="0.25">
      <c r="A374" s="44">
        <v>2019</v>
      </c>
      <c r="B374" s="44">
        <v>1</v>
      </c>
      <c r="C374" s="6">
        <v>-81.380166666666668</v>
      </c>
      <c r="D374" s="44">
        <v>1</v>
      </c>
      <c r="E374" s="44">
        <v>23.5</v>
      </c>
      <c r="F374" s="47">
        <v>1</v>
      </c>
      <c r="G374" s="44">
        <v>19</v>
      </c>
      <c r="H374" s="44">
        <v>2.5499999999999998</v>
      </c>
      <c r="I374" s="44">
        <v>0.5</v>
      </c>
      <c r="J374" s="44">
        <v>0</v>
      </c>
      <c r="K374" s="44">
        <v>0.2</v>
      </c>
      <c r="L374" s="44">
        <v>0.7846153846153846</v>
      </c>
      <c r="M374" s="44">
        <v>0.15384615384615385</v>
      </c>
      <c r="N374" s="44">
        <v>0</v>
      </c>
      <c r="O374" s="44">
        <v>6.1538461538461542E-2</v>
      </c>
      <c r="P374" s="50">
        <v>3.9512437185814275</v>
      </c>
      <c r="Q374" s="50">
        <v>2.3978952727983707</v>
      </c>
      <c r="R374" s="50">
        <v>0</v>
      </c>
      <c r="S374" s="50">
        <v>1.6094379124341003</v>
      </c>
    </row>
    <row r="375" spans="1:19" x14ac:dyDescent="0.25">
      <c r="A375" s="44">
        <v>2019</v>
      </c>
      <c r="B375" s="44">
        <v>0</v>
      </c>
      <c r="C375" s="6">
        <v>-81.748666666666665</v>
      </c>
      <c r="D375" s="44">
        <v>1</v>
      </c>
      <c r="E375" s="44">
        <v>25.1</v>
      </c>
      <c r="F375" s="1">
        <v>0</v>
      </c>
      <c r="G375" s="44">
        <v>5</v>
      </c>
      <c r="H375" s="44">
        <v>3.15</v>
      </c>
      <c r="I375" s="44">
        <v>0</v>
      </c>
      <c r="J375" s="44">
        <v>0</v>
      </c>
      <c r="K375" s="44">
        <v>0.4</v>
      </c>
      <c r="L375" s="44">
        <v>0.86301369863013699</v>
      </c>
      <c r="M375" s="44">
        <v>0</v>
      </c>
      <c r="N375" s="44">
        <v>0</v>
      </c>
      <c r="O375" s="44">
        <v>0.1095890410958904</v>
      </c>
      <c r="P375" s="50">
        <v>4.1588830833596715</v>
      </c>
      <c r="Q375" s="50">
        <v>0</v>
      </c>
      <c r="R375" s="50">
        <v>0</v>
      </c>
      <c r="S375" s="50">
        <v>2.1972245773362196</v>
      </c>
    </row>
    <row r="376" spans="1:19" x14ac:dyDescent="0.25">
      <c r="A376" s="44">
        <v>2019</v>
      </c>
      <c r="B376" s="44">
        <v>0</v>
      </c>
      <c r="C376" s="6">
        <v>-81.753500000000003</v>
      </c>
      <c r="D376" s="44">
        <v>1</v>
      </c>
      <c r="E376" s="44">
        <v>24.9</v>
      </c>
      <c r="F376" s="1">
        <v>0</v>
      </c>
      <c r="G376" s="44">
        <v>10</v>
      </c>
      <c r="H376" s="44">
        <v>9.25</v>
      </c>
      <c r="I376" s="44">
        <v>0</v>
      </c>
      <c r="J376" s="44">
        <v>0</v>
      </c>
      <c r="K376" s="44">
        <v>0.15</v>
      </c>
      <c r="L376" s="44">
        <v>0.98404255319148937</v>
      </c>
      <c r="M376" s="44">
        <v>0</v>
      </c>
      <c r="N376" s="44">
        <v>0</v>
      </c>
      <c r="O376" s="44">
        <v>1.5957446808510637E-2</v>
      </c>
      <c r="P376" s="50">
        <v>5.2257466737132017</v>
      </c>
      <c r="Q376" s="50">
        <v>0</v>
      </c>
      <c r="R376" s="50">
        <v>0</v>
      </c>
      <c r="S376" s="50">
        <v>1.3862943611198906</v>
      </c>
    </row>
    <row r="377" spans="1:19" x14ac:dyDescent="0.25">
      <c r="A377" s="44">
        <v>2019</v>
      </c>
      <c r="B377" s="44">
        <v>0</v>
      </c>
      <c r="C377" s="6">
        <v>-81.734499999999997</v>
      </c>
      <c r="D377" s="44">
        <v>1</v>
      </c>
      <c r="E377" s="44">
        <v>25.1</v>
      </c>
      <c r="F377" s="1">
        <v>0</v>
      </c>
      <c r="G377" s="44">
        <v>13</v>
      </c>
      <c r="H377" s="44">
        <v>9.6999999999999993</v>
      </c>
      <c r="I377" s="44">
        <v>0.1</v>
      </c>
      <c r="J377" s="44">
        <v>0</v>
      </c>
      <c r="K377" s="44">
        <v>0.15</v>
      </c>
      <c r="L377" s="44">
        <v>0.96517412935323388</v>
      </c>
      <c r="M377" s="44">
        <v>9.9502487562189053E-3</v>
      </c>
      <c r="N377" s="44">
        <v>0</v>
      </c>
      <c r="O377" s="44">
        <v>1.4925373134328358E-2</v>
      </c>
      <c r="P377" s="50">
        <v>5.2729995585637468</v>
      </c>
      <c r="Q377" s="50">
        <v>1.0986122886681098</v>
      </c>
      <c r="R377" s="50">
        <v>0</v>
      </c>
      <c r="S377" s="50">
        <v>1.3862943611198906</v>
      </c>
    </row>
    <row r="378" spans="1:19" x14ac:dyDescent="0.25">
      <c r="A378" s="44">
        <v>2019</v>
      </c>
      <c r="B378" s="44">
        <v>0</v>
      </c>
      <c r="C378" s="6">
        <v>-81.747</v>
      </c>
      <c r="D378" s="44">
        <v>1</v>
      </c>
      <c r="E378" s="44">
        <v>24.9</v>
      </c>
      <c r="F378" s="47">
        <v>1</v>
      </c>
      <c r="G378" s="44">
        <v>19</v>
      </c>
      <c r="H378" s="44">
        <v>11.3</v>
      </c>
      <c r="I378" s="44">
        <v>0.15</v>
      </c>
      <c r="J378" s="44">
        <v>0</v>
      </c>
      <c r="K378" s="44">
        <v>0.2</v>
      </c>
      <c r="L378" s="44">
        <v>0.96995708154506433</v>
      </c>
      <c r="M378" s="44">
        <v>1.2875536480686695E-2</v>
      </c>
      <c r="N378" s="44">
        <v>0</v>
      </c>
      <c r="O378" s="44">
        <v>1.7167381974248927E-2</v>
      </c>
      <c r="P378" s="50">
        <v>5.4249500174814029</v>
      </c>
      <c r="Q378" s="50">
        <v>1.3862943611198906</v>
      </c>
      <c r="R378" s="50">
        <v>0</v>
      </c>
      <c r="S378" s="50">
        <v>1.6094379124341003</v>
      </c>
    </row>
    <row r="379" spans="1:19" x14ac:dyDescent="0.25">
      <c r="A379" s="44">
        <v>2019</v>
      </c>
      <c r="B379" s="44">
        <v>0</v>
      </c>
      <c r="C379" s="6">
        <v>-81.8065</v>
      </c>
      <c r="D379" s="44">
        <v>1</v>
      </c>
      <c r="E379" s="44">
        <v>21.4</v>
      </c>
      <c r="F379" s="1">
        <v>0</v>
      </c>
      <c r="G379" s="44">
        <v>7</v>
      </c>
      <c r="H379" s="44">
        <v>2.7</v>
      </c>
      <c r="I379" s="44">
        <v>0</v>
      </c>
      <c r="J379" s="44">
        <v>0</v>
      </c>
      <c r="K379" s="44">
        <v>2.8</v>
      </c>
      <c r="L379" s="44">
        <v>0.47787610619469029</v>
      </c>
      <c r="M379" s="44">
        <v>0</v>
      </c>
      <c r="N379" s="44">
        <v>0</v>
      </c>
      <c r="O379" s="44">
        <v>0.49557522123893805</v>
      </c>
      <c r="P379" s="50">
        <v>4.0073331852324712</v>
      </c>
      <c r="Q379" s="50">
        <v>0</v>
      </c>
      <c r="R379" s="50">
        <v>0</v>
      </c>
      <c r="S379" s="50">
        <v>4.0430512678345503</v>
      </c>
    </row>
    <row r="380" spans="1:19" x14ac:dyDescent="0.25">
      <c r="A380" s="44">
        <v>2019</v>
      </c>
      <c r="B380" s="44">
        <v>0</v>
      </c>
      <c r="C380" s="6">
        <v>-81.81283333333333</v>
      </c>
      <c r="D380" s="44">
        <v>1</v>
      </c>
      <c r="E380" s="44">
        <v>20.9</v>
      </c>
      <c r="F380" s="21">
        <v>0</v>
      </c>
      <c r="G380" s="12">
        <v>13</v>
      </c>
      <c r="H380" s="44">
        <v>0.95</v>
      </c>
      <c r="I380" s="44">
        <v>0</v>
      </c>
      <c r="J380" s="44">
        <v>0</v>
      </c>
      <c r="K380" s="44">
        <v>2.2999999999999998</v>
      </c>
      <c r="L380" s="44">
        <v>0.28358208955223879</v>
      </c>
      <c r="M380" s="44">
        <v>0</v>
      </c>
      <c r="N380" s="44">
        <v>0</v>
      </c>
      <c r="O380" s="44">
        <v>0.68656716417910446</v>
      </c>
      <c r="P380" s="50">
        <v>2.9957322735539909</v>
      </c>
      <c r="Q380" s="50">
        <v>0</v>
      </c>
      <c r="R380" s="50">
        <v>0</v>
      </c>
      <c r="S380" s="50">
        <v>3.8501476017100584</v>
      </c>
    </row>
    <row r="381" spans="1:19" x14ac:dyDescent="0.25">
      <c r="A381" s="44">
        <v>2019</v>
      </c>
      <c r="B381" s="44">
        <v>0</v>
      </c>
      <c r="C381" s="6">
        <v>-81.813333333333333</v>
      </c>
      <c r="D381" s="44">
        <v>1</v>
      </c>
      <c r="E381" s="44">
        <v>20.9</v>
      </c>
      <c r="F381" s="47">
        <v>1</v>
      </c>
      <c r="G381" s="44">
        <v>19</v>
      </c>
      <c r="H381" s="44">
        <v>0.1</v>
      </c>
      <c r="I381" s="44">
        <v>10.1</v>
      </c>
      <c r="J381" s="44">
        <v>0</v>
      </c>
      <c r="K381" s="44">
        <v>0.4</v>
      </c>
      <c r="L381" s="44">
        <v>9.2165898617511521E-3</v>
      </c>
      <c r="M381" s="44">
        <v>0.93087557603686633</v>
      </c>
      <c r="N381" s="44">
        <v>0</v>
      </c>
      <c r="O381" s="44">
        <v>3.6866359447004608E-2</v>
      </c>
      <c r="P381" s="50">
        <v>1.0986122886681098</v>
      </c>
      <c r="Q381" s="50">
        <v>5.3132059790417872</v>
      </c>
      <c r="R381" s="50">
        <v>0</v>
      </c>
      <c r="S381" s="50">
        <v>2.1972245773362196</v>
      </c>
    </row>
    <row r="382" spans="1:19" x14ac:dyDescent="0.25">
      <c r="A382" s="44">
        <v>2019</v>
      </c>
      <c r="B382" s="44">
        <v>0</v>
      </c>
      <c r="C382" s="6">
        <v>-81.827666666666673</v>
      </c>
      <c r="D382" s="44">
        <v>0</v>
      </c>
      <c r="E382" s="44">
        <v>13</v>
      </c>
      <c r="F382" s="47">
        <v>0</v>
      </c>
      <c r="G382" s="12">
        <v>6</v>
      </c>
      <c r="H382" s="44">
        <v>1.05</v>
      </c>
      <c r="I382" s="44">
        <v>0</v>
      </c>
      <c r="J382" s="44">
        <v>0.25</v>
      </c>
      <c r="K382" s="44">
        <v>1.2</v>
      </c>
      <c r="L382" s="44">
        <v>0.3559322033898305</v>
      </c>
      <c r="M382" s="44">
        <v>0</v>
      </c>
      <c r="N382" s="44">
        <v>8.4745762711864403E-2</v>
      </c>
      <c r="O382" s="44">
        <v>0.40677966101694918</v>
      </c>
      <c r="P382" s="50">
        <v>3.0910424533583161</v>
      </c>
      <c r="Q382" s="50">
        <v>0</v>
      </c>
      <c r="R382" s="50">
        <v>1.791759469228055</v>
      </c>
      <c r="S382" s="50">
        <v>3.2188758248682006</v>
      </c>
    </row>
    <row r="383" spans="1:19" x14ac:dyDescent="0.25">
      <c r="A383" s="44">
        <v>2019</v>
      </c>
      <c r="B383" s="44">
        <v>0</v>
      </c>
      <c r="C383" s="6">
        <v>-81.835999999999999</v>
      </c>
      <c r="D383" s="44">
        <v>0</v>
      </c>
      <c r="E383" s="44">
        <v>13.9</v>
      </c>
      <c r="F383" s="1">
        <v>0</v>
      </c>
      <c r="G383" s="44">
        <v>9</v>
      </c>
      <c r="H383" s="44">
        <v>1.1000000000000001</v>
      </c>
      <c r="I383" s="44">
        <v>65.25</v>
      </c>
      <c r="J383" s="44">
        <v>0.05</v>
      </c>
      <c r="K383" s="44">
        <v>1.1000000000000001</v>
      </c>
      <c r="L383" s="44">
        <v>1.5965166908563134E-2</v>
      </c>
      <c r="M383" s="44">
        <v>0.94702467343976782</v>
      </c>
      <c r="N383" s="44">
        <v>7.2568940493468795E-4</v>
      </c>
      <c r="O383" s="44">
        <v>1.5965166908563134E-2</v>
      </c>
      <c r="P383" s="50">
        <v>3.1354942159291497</v>
      </c>
      <c r="Q383" s="50">
        <v>7.1747243098363764</v>
      </c>
      <c r="R383" s="50">
        <v>0.69314718055994529</v>
      </c>
      <c r="S383" s="50">
        <v>3.1354942159291497</v>
      </c>
    </row>
    <row r="384" spans="1:19" x14ac:dyDescent="0.25">
      <c r="A384" s="44">
        <v>2019</v>
      </c>
      <c r="B384" s="44">
        <v>0</v>
      </c>
      <c r="C384" s="6">
        <v>-82.162333333333336</v>
      </c>
      <c r="D384" s="44">
        <v>1</v>
      </c>
      <c r="E384" s="44">
        <v>21.9</v>
      </c>
      <c r="F384" s="1">
        <v>0</v>
      </c>
      <c r="G384" s="44">
        <v>6</v>
      </c>
      <c r="H384" s="44">
        <v>0.8</v>
      </c>
      <c r="I384" s="44">
        <v>0</v>
      </c>
      <c r="J384" s="44">
        <v>0</v>
      </c>
      <c r="K384" s="44">
        <v>0.7</v>
      </c>
      <c r="L384" s="44">
        <v>0.44444444444444442</v>
      </c>
      <c r="M384" s="44">
        <v>0</v>
      </c>
      <c r="N384" s="44">
        <v>0</v>
      </c>
      <c r="O384" s="44">
        <v>0.3888888888888889</v>
      </c>
      <c r="P384" s="50">
        <v>2.8332133440562162</v>
      </c>
      <c r="Q384" s="50">
        <v>0</v>
      </c>
      <c r="R384" s="50">
        <v>0</v>
      </c>
      <c r="S384" s="50">
        <v>2.7080502011022101</v>
      </c>
    </row>
    <row r="385" spans="1:19" x14ac:dyDescent="0.25">
      <c r="A385" s="44">
        <v>2019</v>
      </c>
      <c r="B385" s="44">
        <v>0</v>
      </c>
      <c r="C385" s="6">
        <v>-82.164000000000001</v>
      </c>
      <c r="D385" s="44">
        <v>1</v>
      </c>
      <c r="E385" s="44">
        <v>21.8</v>
      </c>
      <c r="F385" s="1">
        <v>0</v>
      </c>
      <c r="G385" s="44">
        <v>10</v>
      </c>
      <c r="H385" s="44">
        <v>2.5499999999999998</v>
      </c>
      <c r="I385" s="44">
        <v>0</v>
      </c>
      <c r="J385" s="44">
        <v>0</v>
      </c>
      <c r="K385" s="44">
        <v>0.75</v>
      </c>
      <c r="L385" s="44">
        <v>0.62962962962962965</v>
      </c>
      <c r="M385" s="44">
        <v>0</v>
      </c>
      <c r="N385" s="44">
        <v>0</v>
      </c>
      <c r="O385" s="44">
        <v>0.18518518518518517</v>
      </c>
      <c r="P385" s="50">
        <v>3.9512437185814275</v>
      </c>
      <c r="Q385" s="50">
        <v>0</v>
      </c>
      <c r="R385" s="50">
        <v>0</v>
      </c>
      <c r="S385" s="50">
        <v>2.7725887222397811</v>
      </c>
    </row>
    <row r="386" spans="1:19" x14ac:dyDescent="0.25">
      <c r="A386" s="44">
        <v>2019</v>
      </c>
      <c r="B386" s="44">
        <v>0</v>
      </c>
      <c r="C386" s="6">
        <v>-82.166666666666671</v>
      </c>
      <c r="D386" s="44">
        <v>1</v>
      </c>
      <c r="E386" s="44">
        <v>21.8</v>
      </c>
      <c r="F386" s="1">
        <v>0</v>
      </c>
      <c r="G386" s="44">
        <v>13</v>
      </c>
      <c r="H386" s="44">
        <v>3.9</v>
      </c>
      <c r="I386" s="44">
        <v>0</v>
      </c>
      <c r="J386" s="44">
        <v>0</v>
      </c>
      <c r="K386" s="44">
        <v>0.65</v>
      </c>
      <c r="L386" s="44">
        <v>0.75728155339805825</v>
      </c>
      <c r="M386" s="44">
        <v>0</v>
      </c>
      <c r="N386" s="44">
        <v>0</v>
      </c>
      <c r="O386" s="44">
        <v>0.12621359223300971</v>
      </c>
      <c r="P386" s="50">
        <v>4.3694478524670215</v>
      </c>
      <c r="Q386" s="50">
        <v>0</v>
      </c>
      <c r="R386" s="50">
        <v>0</v>
      </c>
      <c r="S386" s="50">
        <v>2.6390573296152584</v>
      </c>
    </row>
    <row r="387" spans="1:19" x14ac:dyDescent="0.25">
      <c r="A387" s="44">
        <v>2019</v>
      </c>
      <c r="B387" s="44">
        <v>0</v>
      </c>
      <c r="C387" s="6">
        <v>-82.223500000000001</v>
      </c>
      <c r="D387" s="44">
        <v>1</v>
      </c>
      <c r="E387" s="44">
        <v>21.5</v>
      </c>
      <c r="F387" s="1">
        <v>0</v>
      </c>
      <c r="G387" s="44">
        <v>8</v>
      </c>
      <c r="H387" s="44">
        <v>0.15</v>
      </c>
      <c r="I387" s="44">
        <v>0</v>
      </c>
      <c r="J387" s="44">
        <v>0</v>
      </c>
      <c r="K387" s="44">
        <v>0.25</v>
      </c>
      <c r="L387" s="44">
        <v>0.1111111111111111</v>
      </c>
      <c r="M387" s="44">
        <v>0</v>
      </c>
      <c r="N387" s="44">
        <v>0</v>
      </c>
      <c r="O387" s="44">
        <v>0.18518518518518517</v>
      </c>
      <c r="P387" s="50">
        <v>1.3862943611198906</v>
      </c>
      <c r="Q387" s="50">
        <v>0</v>
      </c>
      <c r="R387" s="50">
        <v>0</v>
      </c>
      <c r="S387" s="50">
        <v>1.791759469228055</v>
      </c>
    </row>
    <row r="388" spans="1:19" x14ac:dyDescent="0.25">
      <c r="A388" s="44">
        <v>2019</v>
      </c>
      <c r="B388" s="44">
        <v>0</v>
      </c>
      <c r="C388" s="6">
        <v>-82.224166666666662</v>
      </c>
      <c r="D388" s="44">
        <v>1</v>
      </c>
      <c r="E388" s="44">
        <v>21.5</v>
      </c>
      <c r="F388" s="1">
        <v>0</v>
      </c>
      <c r="G388" s="44">
        <v>13</v>
      </c>
      <c r="H388" s="44">
        <v>3.45</v>
      </c>
      <c r="I388" s="44">
        <v>0</v>
      </c>
      <c r="J388" s="44">
        <v>0</v>
      </c>
      <c r="K388" s="44">
        <v>1.5</v>
      </c>
      <c r="L388" s="44">
        <v>0.65714285714285714</v>
      </c>
      <c r="M388" s="44">
        <v>0</v>
      </c>
      <c r="N388" s="44">
        <v>0</v>
      </c>
      <c r="O388" s="44">
        <v>0.2857142857142857</v>
      </c>
      <c r="P388" s="50">
        <v>4.2484952420493594</v>
      </c>
      <c r="Q388" s="50">
        <v>0</v>
      </c>
      <c r="R388" s="50">
        <v>0</v>
      </c>
      <c r="S388" s="50">
        <v>3.4339872044851463</v>
      </c>
    </row>
    <row r="389" spans="1:19" x14ac:dyDescent="0.25">
      <c r="A389" s="44">
        <v>2019</v>
      </c>
      <c r="B389" s="44">
        <v>0</v>
      </c>
      <c r="C389" s="6">
        <v>-82.221666666666664</v>
      </c>
      <c r="D389" s="44">
        <v>1</v>
      </c>
      <c r="E389" s="44">
        <v>21.6</v>
      </c>
      <c r="F389" s="21">
        <v>0</v>
      </c>
      <c r="G389" s="12">
        <v>15</v>
      </c>
      <c r="H389" s="44">
        <v>1.1000000000000001</v>
      </c>
      <c r="I389" s="44">
        <v>0.15</v>
      </c>
      <c r="J389" s="44">
        <v>0</v>
      </c>
      <c r="K389" s="44">
        <v>1.7</v>
      </c>
      <c r="L389" s="44">
        <v>0.34375</v>
      </c>
      <c r="M389" s="44">
        <v>4.6875E-2</v>
      </c>
      <c r="N389" s="44">
        <v>0</v>
      </c>
      <c r="O389" s="44">
        <v>0.53125</v>
      </c>
      <c r="P389" s="50">
        <v>3.1354942159291497</v>
      </c>
      <c r="Q389" s="50">
        <v>1.3862943611198906</v>
      </c>
      <c r="R389" s="50">
        <v>0</v>
      </c>
      <c r="S389" s="50">
        <v>3.5553480614894135</v>
      </c>
    </row>
    <row r="390" spans="1:19" x14ac:dyDescent="0.25">
      <c r="A390" s="44">
        <v>2019</v>
      </c>
      <c r="B390" s="44">
        <v>0</v>
      </c>
      <c r="C390" s="6">
        <v>-82.251833333333337</v>
      </c>
      <c r="D390" s="44">
        <v>0</v>
      </c>
      <c r="E390" s="44">
        <v>17.2</v>
      </c>
      <c r="F390" s="1">
        <v>0</v>
      </c>
      <c r="G390" s="44">
        <v>8</v>
      </c>
      <c r="H390" s="44">
        <v>0.6</v>
      </c>
      <c r="I390" s="44">
        <v>0</v>
      </c>
      <c r="J390" s="44">
        <v>0.15</v>
      </c>
      <c r="K390" s="44">
        <v>2.25</v>
      </c>
      <c r="L390" s="44">
        <v>3.3149171270718231E-2</v>
      </c>
      <c r="M390" s="44">
        <v>0</v>
      </c>
      <c r="N390" s="44">
        <v>8.2872928176795577E-3</v>
      </c>
      <c r="O390" s="44">
        <v>0.12430939226519337</v>
      </c>
      <c r="P390" s="50">
        <v>2.5649493574615367</v>
      </c>
      <c r="Q390" s="50">
        <v>0</v>
      </c>
      <c r="R390" s="50">
        <v>1.3862943611198906</v>
      </c>
      <c r="S390" s="50">
        <v>3.8286413964890951</v>
      </c>
    </row>
    <row r="391" spans="1:19" x14ac:dyDescent="0.25">
      <c r="A391" s="44">
        <v>2019</v>
      </c>
      <c r="B391" s="44">
        <v>0</v>
      </c>
      <c r="C391" s="6">
        <v>-82.259666666666661</v>
      </c>
      <c r="D391" s="44">
        <v>0</v>
      </c>
      <c r="E391" s="44">
        <v>15</v>
      </c>
      <c r="F391" s="21">
        <v>0</v>
      </c>
      <c r="G391" s="12">
        <v>12</v>
      </c>
      <c r="H391" s="44">
        <v>2.5</v>
      </c>
      <c r="I391" s="44">
        <v>0</v>
      </c>
      <c r="J391" s="44">
        <v>0.05</v>
      </c>
      <c r="K391" s="44">
        <v>2.15</v>
      </c>
      <c r="L391" s="44">
        <v>0.33557046979865773</v>
      </c>
      <c r="M391" s="44">
        <v>0</v>
      </c>
      <c r="N391" s="44">
        <v>6.7114093959731542E-3</v>
      </c>
      <c r="O391" s="44">
        <v>0.28859060402684567</v>
      </c>
      <c r="P391" s="50">
        <v>3.9318256327243257</v>
      </c>
      <c r="Q391" s="50">
        <v>0</v>
      </c>
      <c r="R391" s="50">
        <v>0.69314718055994529</v>
      </c>
      <c r="S391" s="50">
        <v>3.784189633918261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4778-D97C-4ABD-8E18-492F2DBB91B7}">
  <dimension ref="A1:C23"/>
  <sheetViews>
    <sheetView workbookViewId="0">
      <selection activeCell="C5" sqref="C5"/>
    </sheetView>
  </sheetViews>
  <sheetFormatPr defaultRowHeight="15" x14ac:dyDescent="0.25"/>
  <cols>
    <col min="2" max="2" width="14.85546875" bestFit="1" customWidth="1"/>
  </cols>
  <sheetData>
    <row r="1" spans="1:3" x14ac:dyDescent="0.25">
      <c r="A1" s="29" t="s">
        <v>57</v>
      </c>
    </row>
    <row r="2" spans="1:3" s="44" customFormat="1" x14ac:dyDescent="0.25">
      <c r="A2" s="29"/>
    </row>
    <row r="3" spans="1:3" s="44" customFormat="1" x14ac:dyDescent="0.25">
      <c r="A3" s="29"/>
      <c r="B3" s="23" t="s">
        <v>76</v>
      </c>
    </row>
    <row r="5" spans="1:3" x14ac:dyDescent="0.25">
      <c r="B5" t="s">
        <v>11</v>
      </c>
    </row>
    <row r="6" spans="1:3" x14ac:dyDescent="0.25">
      <c r="B6" t="s">
        <v>48</v>
      </c>
      <c r="C6" t="s">
        <v>58</v>
      </c>
    </row>
    <row r="7" spans="1:3" x14ac:dyDescent="0.25">
      <c r="B7" t="s">
        <v>3</v>
      </c>
      <c r="C7" t="s">
        <v>59</v>
      </c>
    </row>
    <row r="8" spans="1:3" x14ac:dyDescent="0.25">
      <c r="B8" t="s">
        <v>49</v>
      </c>
      <c r="C8" t="s">
        <v>63</v>
      </c>
    </row>
    <row r="9" spans="1:3" x14ac:dyDescent="0.25">
      <c r="B9" t="s">
        <v>55</v>
      </c>
      <c r="C9" t="s">
        <v>60</v>
      </c>
    </row>
    <row r="10" spans="1:3" x14ac:dyDescent="0.25">
      <c r="B10" t="s">
        <v>42</v>
      </c>
      <c r="C10" t="s">
        <v>61</v>
      </c>
    </row>
    <row r="11" spans="1:3" x14ac:dyDescent="0.25">
      <c r="B11" t="s">
        <v>56</v>
      </c>
      <c r="C11" t="s">
        <v>62</v>
      </c>
    </row>
    <row r="12" spans="1:3" x14ac:dyDescent="0.25">
      <c r="B12" t="s">
        <v>36</v>
      </c>
      <c r="C12" t="s">
        <v>72</v>
      </c>
    </row>
    <row r="13" spans="1:3" x14ac:dyDescent="0.25">
      <c r="B13" t="s">
        <v>37</v>
      </c>
      <c r="C13" s="44" t="s">
        <v>73</v>
      </c>
    </row>
    <row r="14" spans="1:3" x14ac:dyDescent="0.25">
      <c r="B14" t="s">
        <v>38</v>
      </c>
      <c r="C14" s="44" t="s">
        <v>74</v>
      </c>
    </row>
    <row r="15" spans="1:3" x14ac:dyDescent="0.25">
      <c r="B15" t="s">
        <v>39</v>
      </c>
      <c r="C15" s="44" t="s">
        <v>75</v>
      </c>
    </row>
    <row r="16" spans="1:3" x14ac:dyDescent="0.25">
      <c r="B16" t="s">
        <v>26</v>
      </c>
      <c r="C16" t="s">
        <v>64</v>
      </c>
    </row>
    <row r="17" spans="2:3" x14ac:dyDescent="0.25">
      <c r="B17" t="s">
        <v>25</v>
      </c>
      <c r="C17" s="44" t="s">
        <v>65</v>
      </c>
    </row>
    <row r="18" spans="2:3" x14ac:dyDescent="0.25">
      <c r="B18" t="s">
        <v>24</v>
      </c>
      <c r="C18" s="44" t="s">
        <v>66</v>
      </c>
    </row>
    <row r="19" spans="2:3" x14ac:dyDescent="0.25">
      <c r="B19" t="s">
        <v>32</v>
      </c>
      <c r="C19" s="44" t="s">
        <v>67</v>
      </c>
    </row>
    <row r="20" spans="2:3" x14ac:dyDescent="0.25">
      <c r="B20" t="s">
        <v>50</v>
      </c>
      <c r="C20" t="s">
        <v>68</v>
      </c>
    </row>
    <row r="21" spans="2:3" x14ac:dyDescent="0.25">
      <c r="B21" t="s">
        <v>51</v>
      </c>
      <c r="C21" s="44" t="s">
        <v>69</v>
      </c>
    </row>
    <row r="22" spans="2:3" x14ac:dyDescent="0.25">
      <c r="B22" t="s">
        <v>52</v>
      </c>
      <c r="C22" s="44" t="s">
        <v>70</v>
      </c>
    </row>
    <row r="23" spans="2:3" x14ac:dyDescent="0.25">
      <c r="B23" t="s">
        <v>53</v>
      </c>
      <c r="C23" s="44" t="s">
        <v>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data</vt:lpstr>
      <vt:lpstr>CART multinomial data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Kocovsky, Patrick</dc:creator>
  <cp:lastModifiedBy>pkocovsky</cp:lastModifiedBy>
  <dcterms:created xsi:type="dcterms:W3CDTF">2015-04-29T11:48:18Z</dcterms:created>
  <dcterms:modified xsi:type="dcterms:W3CDTF">2020-03-20T15:26:34Z</dcterms:modified>
</cp:coreProperties>
</file>