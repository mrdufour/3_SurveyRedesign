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5_DOW_computer\Documents\1_Projects\4_Side_projects\17_Survey re-design\Analyses\WB\multinom_reg\OMNRF_midwater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G3" i="1" l="1"/>
  <c r="DG4" i="1"/>
  <c r="DG5" i="1"/>
  <c r="DG6" i="1"/>
  <c r="DG7" i="1"/>
  <c r="DG8" i="1"/>
  <c r="DG9" i="1"/>
  <c r="DG10" i="1"/>
  <c r="DG11" i="1"/>
  <c r="DG12" i="1"/>
  <c r="DG13" i="1"/>
  <c r="DG14" i="1"/>
  <c r="DG15" i="1"/>
  <c r="DG16" i="1"/>
  <c r="DG17" i="1"/>
  <c r="DG18" i="1"/>
  <c r="DG19" i="1"/>
  <c r="DG20" i="1"/>
  <c r="DG21" i="1"/>
  <c r="DG22" i="1"/>
  <c r="DG23" i="1"/>
  <c r="DG24" i="1"/>
  <c r="DG25" i="1"/>
  <c r="DG26" i="1"/>
  <c r="DG27" i="1"/>
  <c r="DG28" i="1"/>
  <c r="DG29" i="1"/>
  <c r="DG30" i="1"/>
  <c r="DG31" i="1"/>
  <c r="DG32" i="1"/>
  <c r="DG33" i="1"/>
  <c r="DG34" i="1"/>
  <c r="DG35" i="1"/>
  <c r="DG36" i="1"/>
  <c r="DG37" i="1"/>
  <c r="DG38" i="1"/>
  <c r="DG39" i="1"/>
  <c r="DG40" i="1"/>
  <c r="DG41" i="1"/>
  <c r="DG42" i="1"/>
  <c r="DG43" i="1"/>
  <c r="DG44" i="1"/>
  <c r="DG45" i="1"/>
  <c r="DG46" i="1"/>
  <c r="DG47" i="1"/>
  <c r="DG48" i="1"/>
  <c r="DG49" i="1"/>
  <c r="DG50" i="1"/>
  <c r="DG51" i="1"/>
  <c r="DG52" i="1"/>
  <c r="DG53" i="1"/>
  <c r="DG54" i="1"/>
  <c r="DG55" i="1"/>
  <c r="DG56" i="1"/>
  <c r="DG57" i="1"/>
  <c r="DG58" i="1"/>
  <c r="DG59" i="1"/>
  <c r="DG60" i="1"/>
  <c r="DG61" i="1"/>
  <c r="DG62" i="1"/>
  <c r="DG63" i="1"/>
  <c r="DG64" i="1"/>
  <c r="DG65" i="1"/>
  <c r="DG66" i="1"/>
  <c r="DG67" i="1"/>
  <c r="DG68" i="1"/>
  <c r="DG69" i="1"/>
  <c r="DG70" i="1"/>
  <c r="DG71" i="1"/>
  <c r="DG72" i="1"/>
  <c r="DG73" i="1"/>
  <c r="DG74" i="1"/>
  <c r="DG75" i="1"/>
  <c r="DG76" i="1"/>
  <c r="DG77" i="1"/>
  <c r="DG78" i="1"/>
  <c r="DG79" i="1"/>
  <c r="DG80" i="1"/>
  <c r="DG81" i="1"/>
  <c r="DG82" i="1"/>
  <c r="DG83" i="1"/>
  <c r="DG84" i="1"/>
  <c r="DG85" i="1"/>
  <c r="DG86" i="1"/>
  <c r="DG87" i="1"/>
  <c r="DG88" i="1"/>
  <c r="DG89" i="1"/>
  <c r="DG90" i="1"/>
  <c r="DG91" i="1"/>
  <c r="DG92" i="1"/>
  <c r="DG93" i="1"/>
  <c r="DG94" i="1"/>
  <c r="DG95" i="1"/>
  <c r="DG96" i="1"/>
  <c r="DG97" i="1"/>
  <c r="DG98" i="1"/>
  <c r="DG99" i="1"/>
  <c r="DG100" i="1"/>
  <c r="DG101" i="1"/>
  <c r="DG102" i="1"/>
  <c r="DG103" i="1"/>
  <c r="DG104" i="1"/>
  <c r="DG105" i="1"/>
  <c r="DG106" i="1"/>
  <c r="DG107" i="1"/>
  <c r="DG108" i="1"/>
  <c r="DG109" i="1"/>
  <c r="DG110" i="1"/>
  <c r="DG111" i="1"/>
  <c r="DG112" i="1"/>
  <c r="DG113" i="1"/>
  <c r="DG114" i="1"/>
  <c r="DG2" i="1"/>
  <c r="DE3" i="1"/>
  <c r="DE4" i="1"/>
  <c r="DE5" i="1"/>
  <c r="DE6" i="1"/>
  <c r="DE7" i="1"/>
  <c r="DE8" i="1"/>
  <c r="DE9" i="1"/>
  <c r="DE10" i="1"/>
  <c r="DE11" i="1"/>
  <c r="DE12" i="1"/>
  <c r="DE13" i="1"/>
  <c r="DE14" i="1"/>
  <c r="DE15" i="1"/>
  <c r="DE16" i="1"/>
  <c r="DE17" i="1"/>
  <c r="DE18" i="1"/>
  <c r="DE19" i="1"/>
  <c r="DE20" i="1"/>
  <c r="DE21" i="1"/>
  <c r="DE22" i="1"/>
  <c r="DE23" i="1"/>
  <c r="DE24" i="1"/>
  <c r="DE25" i="1"/>
  <c r="DE26" i="1"/>
  <c r="DE27" i="1"/>
  <c r="DE28" i="1"/>
  <c r="DE29" i="1"/>
  <c r="DE30" i="1"/>
  <c r="DE31" i="1"/>
  <c r="DE32" i="1"/>
  <c r="DE33" i="1"/>
  <c r="DE34" i="1"/>
  <c r="DE35" i="1"/>
  <c r="DE36" i="1"/>
  <c r="DE37" i="1"/>
  <c r="DE38" i="1"/>
  <c r="DE39" i="1"/>
  <c r="DE40" i="1"/>
  <c r="DE41" i="1"/>
  <c r="DE42" i="1"/>
  <c r="DE43" i="1"/>
  <c r="DE44" i="1"/>
  <c r="DE45" i="1"/>
  <c r="DE46" i="1"/>
  <c r="DE47" i="1"/>
  <c r="DE48" i="1"/>
  <c r="DE49" i="1"/>
  <c r="DE50" i="1"/>
  <c r="DE51" i="1"/>
  <c r="DE52" i="1"/>
  <c r="DE53" i="1"/>
  <c r="DE54" i="1"/>
  <c r="DE55" i="1"/>
  <c r="DE56" i="1"/>
  <c r="DE57" i="1"/>
  <c r="DE58" i="1"/>
  <c r="DE59" i="1"/>
  <c r="DE60" i="1"/>
  <c r="DE61" i="1"/>
  <c r="DE62" i="1"/>
  <c r="DE63" i="1"/>
  <c r="DE64" i="1"/>
  <c r="DE65" i="1"/>
  <c r="DE66" i="1"/>
  <c r="DE67" i="1"/>
  <c r="DE68" i="1"/>
  <c r="DE69" i="1"/>
  <c r="DE70" i="1"/>
  <c r="DE71" i="1"/>
  <c r="DE72" i="1"/>
  <c r="DE73" i="1"/>
  <c r="DE74" i="1"/>
  <c r="DE75" i="1"/>
  <c r="DE76" i="1"/>
  <c r="DE77" i="1"/>
  <c r="DE78" i="1"/>
  <c r="DE79" i="1"/>
  <c r="DE80" i="1"/>
  <c r="DE81" i="1"/>
  <c r="DE82" i="1"/>
  <c r="DE83" i="1"/>
  <c r="DE84" i="1"/>
  <c r="DE85" i="1"/>
  <c r="DE86" i="1"/>
  <c r="DE87" i="1"/>
  <c r="DE88" i="1"/>
  <c r="DE89" i="1"/>
  <c r="DE90" i="1"/>
  <c r="DE91" i="1"/>
  <c r="DE92" i="1"/>
  <c r="DE93" i="1"/>
  <c r="DE94" i="1"/>
  <c r="DE95" i="1"/>
  <c r="DE96" i="1"/>
  <c r="DE97" i="1"/>
  <c r="DE98" i="1"/>
  <c r="DE99" i="1"/>
  <c r="DE100" i="1"/>
  <c r="DE101" i="1"/>
  <c r="DE102" i="1"/>
  <c r="DE103" i="1"/>
  <c r="DE104" i="1"/>
  <c r="DE105" i="1"/>
  <c r="DE106" i="1"/>
  <c r="DE107" i="1"/>
  <c r="DE108" i="1"/>
  <c r="DE109" i="1"/>
  <c r="DE110" i="1"/>
  <c r="DE111" i="1"/>
  <c r="DE112" i="1"/>
  <c r="DE113" i="1"/>
  <c r="DE114" i="1"/>
  <c r="DE2" i="1"/>
  <c r="DF3" i="1"/>
  <c r="DF4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DF30" i="1"/>
  <c r="DF31" i="1"/>
  <c r="DF32" i="1"/>
  <c r="DF33" i="1"/>
  <c r="DF34" i="1"/>
  <c r="DF35" i="1"/>
  <c r="DF36" i="1"/>
  <c r="DF37" i="1"/>
  <c r="DF38" i="1"/>
  <c r="DF39" i="1"/>
  <c r="DF40" i="1"/>
  <c r="DF41" i="1"/>
  <c r="DF42" i="1"/>
  <c r="DF43" i="1"/>
  <c r="DF44" i="1"/>
  <c r="DF45" i="1"/>
  <c r="DF46" i="1"/>
  <c r="DF47" i="1"/>
  <c r="DF48" i="1"/>
  <c r="DF49" i="1"/>
  <c r="DF50" i="1"/>
  <c r="DF51" i="1"/>
  <c r="DF52" i="1"/>
  <c r="DF53" i="1"/>
  <c r="DF54" i="1"/>
  <c r="DF55" i="1"/>
  <c r="DF56" i="1"/>
  <c r="DF57" i="1"/>
  <c r="DF58" i="1"/>
  <c r="DF59" i="1"/>
  <c r="DF60" i="1"/>
  <c r="DF61" i="1"/>
  <c r="DF62" i="1"/>
  <c r="DF63" i="1"/>
  <c r="DF64" i="1"/>
  <c r="DF65" i="1"/>
  <c r="DF66" i="1"/>
  <c r="DF67" i="1"/>
  <c r="DF68" i="1"/>
  <c r="DF69" i="1"/>
  <c r="DF70" i="1"/>
  <c r="DF71" i="1"/>
  <c r="DF72" i="1"/>
  <c r="DF73" i="1"/>
  <c r="DF74" i="1"/>
  <c r="DF75" i="1"/>
  <c r="DF76" i="1"/>
  <c r="DF77" i="1"/>
  <c r="DF78" i="1"/>
  <c r="DF79" i="1"/>
  <c r="DF80" i="1"/>
  <c r="DF81" i="1"/>
  <c r="DF82" i="1"/>
  <c r="DF83" i="1"/>
  <c r="DF84" i="1"/>
  <c r="DF85" i="1"/>
  <c r="DF86" i="1"/>
  <c r="DF87" i="1"/>
  <c r="DF88" i="1"/>
  <c r="DF89" i="1"/>
  <c r="DF90" i="1"/>
  <c r="DF91" i="1"/>
  <c r="DF92" i="1"/>
  <c r="DF93" i="1"/>
  <c r="DF94" i="1"/>
  <c r="DF95" i="1"/>
  <c r="DF96" i="1"/>
  <c r="DF97" i="1"/>
  <c r="DF98" i="1"/>
  <c r="DF99" i="1"/>
  <c r="DF100" i="1"/>
  <c r="DF101" i="1"/>
  <c r="DF102" i="1"/>
  <c r="DF103" i="1"/>
  <c r="DF104" i="1"/>
  <c r="DF105" i="1"/>
  <c r="DF106" i="1"/>
  <c r="DF107" i="1"/>
  <c r="DF108" i="1"/>
  <c r="DF109" i="1"/>
  <c r="DF110" i="1"/>
  <c r="DF111" i="1"/>
  <c r="DF112" i="1"/>
  <c r="DF113" i="1"/>
  <c r="DF114" i="1"/>
  <c r="DF2" i="1"/>
  <c r="DD3" i="1"/>
  <c r="DD4" i="1"/>
  <c r="DD5" i="1"/>
  <c r="DD6" i="1"/>
  <c r="DD7" i="1"/>
  <c r="DD8" i="1"/>
  <c r="DD9" i="1"/>
  <c r="DD10" i="1"/>
  <c r="DD11" i="1"/>
  <c r="DD12" i="1"/>
  <c r="DD13" i="1"/>
  <c r="DD14" i="1"/>
  <c r="DD15" i="1"/>
  <c r="DD16" i="1"/>
  <c r="DD17" i="1"/>
  <c r="DD18" i="1"/>
  <c r="DD19" i="1"/>
  <c r="DD20" i="1"/>
  <c r="DD21" i="1"/>
  <c r="DD22" i="1"/>
  <c r="DD23" i="1"/>
  <c r="DD24" i="1"/>
  <c r="DD25" i="1"/>
  <c r="DD26" i="1"/>
  <c r="DD27" i="1"/>
  <c r="DD28" i="1"/>
  <c r="DD29" i="1"/>
  <c r="DD30" i="1"/>
  <c r="DD31" i="1"/>
  <c r="DD32" i="1"/>
  <c r="DD33" i="1"/>
  <c r="DD34" i="1"/>
  <c r="DD35" i="1"/>
  <c r="DD36" i="1"/>
  <c r="DD37" i="1"/>
  <c r="DD38" i="1"/>
  <c r="DD39" i="1"/>
  <c r="DD40" i="1"/>
  <c r="DD41" i="1"/>
  <c r="DD42" i="1"/>
  <c r="DD43" i="1"/>
  <c r="DD44" i="1"/>
  <c r="DD45" i="1"/>
  <c r="DD46" i="1"/>
  <c r="DD47" i="1"/>
  <c r="DD48" i="1"/>
  <c r="DD49" i="1"/>
  <c r="DD50" i="1"/>
  <c r="DD51" i="1"/>
  <c r="DD52" i="1"/>
  <c r="DD53" i="1"/>
  <c r="DD54" i="1"/>
  <c r="DD55" i="1"/>
  <c r="DD56" i="1"/>
  <c r="DD57" i="1"/>
  <c r="DD58" i="1"/>
  <c r="DD59" i="1"/>
  <c r="DD60" i="1"/>
  <c r="DD61" i="1"/>
  <c r="DD62" i="1"/>
  <c r="DD63" i="1"/>
  <c r="DD64" i="1"/>
  <c r="DD65" i="1"/>
  <c r="DD66" i="1"/>
  <c r="DD67" i="1"/>
  <c r="DD68" i="1"/>
  <c r="DD69" i="1"/>
  <c r="DD70" i="1"/>
  <c r="DD71" i="1"/>
  <c r="DD72" i="1"/>
  <c r="DD73" i="1"/>
  <c r="DD74" i="1"/>
  <c r="DD75" i="1"/>
  <c r="DD76" i="1"/>
  <c r="DD77" i="1"/>
  <c r="DD78" i="1"/>
  <c r="DD79" i="1"/>
  <c r="DD80" i="1"/>
  <c r="DD81" i="1"/>
  <c r="DD82" i="1"/>
  <c r="DD83" i="1"/>
  <c r="DD84" i="1"/>
  <c r="DD85" i="1"/>
  <c r="DD86" i="1"/>
  <c r="DD87" i="1"/>
  <c r="DD88" i="1"/>
  <c r="DD89" i="1"/>
  <c r="DD90" i="1"/>
  <c r="DD91" i="1"/>
  <c r="DD92" i="1"/>
  <c r="DD93" i="1"/>
  <c r="DD94" i="1"/>
  <c r="DD95" i="1"/>
  <c r="DD96" i="1"/>
  <c r="DD97" i="1"/>
  <c r="DD98" i="1"/>
  <c r="DD99" i="1"/>
  <c r="DD100" i="1"/>
  <c r="DD101" i="1"/>
  <c r="DD102" i="1"/>
  <c r="DD103" i="1"/>
  <c r="DD104" i="1"/>
  <c r="DD105" i="1"/>
  <c r="DD106" i="1"/>
  <c r="DD107" i="1"/>
  <c r="DD108" i="1"/>
  <c r="DD109" i="1"/>
  <c r="DD110" i="1"/>
  <c r="DD111" i="1"/>
  <c r="DD112" i="1"/>
  <c r="DD113" i="1"/>
  <c r="DD114" i="1"/>
  <c r="DD2" i="1"/>
  <c r="DC3" i="1"/>
  <c r="DC4" i="1"/>
  <c r="DC5" i="1"/>
  <c r="DC6" i="1"/>
  <c r="DC7" i="1"/>
  <c r="DC8" i="1"/>
  <c r="DC9" i="1"/>
  <c r="DC10" i="1"/>
  <c r="DC11" i="1"/>
  <c r="DC12" i="1"/>
  <c r="DC13" i="1"/>
  <c r="DC14" i="1"/>
  <c r="DC15" i="1"/>
  <c r="DC16" i="1"/>
  <c r="DC17" i="1"/>
  <c r="DC18" i="1"/>
  <c r="DC19" i="1"/>
  <c r="DC20" i="1"/>
  <c r="DC21" i="1"/>
  <c r="DC22" i="1"/>
  <c r="DC23" i="1"/>
  <c r="DC24" i="1"/>
  <c r="DC25" i="1"/>
  <c r="DC26" i="1"/>
  <c r="DC27" i="1"/>
  <c r="DC28" i="1"/>
  <c r="DC29" i="1"/>
  <c r="DC30" i="1"/>
  <c r="DC31" i="1"/>
  <c r="DC32" i="1"/>
  <c r="DC33" i="1"/>
  <c r="DC34" i="1"/>
  <c r="DC35" i="1"/>
  <c r="DC36" i="1"/>
  <c r="DC37" i="1"/>
  <c r="DC38" i="1"/>
  <c r="DC39" i="1"/>
  <c r="DC40" i="1"/>
  <c r="DC41" i="1"/>
  <c r="DC42" i="1"/>
  <c r="DC43" i="1"/>
  <c r="DC44" i="1"/>
  <c r="DC45" i="1"/>
  <c r="DC46" i="1"/>
  <c r="DC47" i="1"/>
  <c r="DC48" i="1"/>
  <c r="DC49" i="1"/>
  <c r="DC50" i="1"/>
  <c r="DC51" i="1"/>
  <c r="DC52" i="1"/>
  <c r="DC53" i="1"/>
  <c r="DC54" i="1"/>
  <c r="DC55" i="1"/>
  <c r="DC56" i="1"/>
  <c r="DC57" i="1"/>
  <c r="DC58" i="1"/>
  <c r="DC59" i="1"/>
  <c r="DC60" i="1"/>
  <c r="DC61" i="1"/>
  <c r="DC62" i="1"/>
  <c r="DC63" i="1"/>
  <c r="DC64" i="1"/>
  <c r="DC65" i="1"/>
  <c r="DC66" i="1"/>
  <c r="DC67" i="1"/>
  <c r="DC68" i="1"/>
  <c r="DC69" i="1"/>
  <c r="DC70" i="1"/>
  <c r="DC71" i="1"/>
  <c r="DC72" i="1"/>
  <c r="DC73" i="1"/>
  <c r="DC74" i="1"/>
  <c r="DC75" i="1"/>
  <c r="DC76" i="1"/>
  <c r="DC77" i="1"/>
  <c r="DC78" i="1"/>
  <c r="DC79" i="1"/>
  <c r="DC80" i="1"/>
  <c r="DC81" i="1"/>
  <c r="DC82" i="1"/>
  <c r="DC83" i="1"/>
  <c r="DC84" i="1"/>
  <c r="DC85" i="1"/>
  <c r="DC86" i="1"/>
  <c r="DC87" i="1"/>
  <c r="DC88" i="1"/>
  <c r="DC89" i="1"/>
  <c r="DC90" i="1"/>
  <c r="DC91" i="1"/>
  <c r="DC92" i="1"/>
  <c r="DC93" i="1"/>
  <c r="DC94" i="1"/>
  <c r="DC95" i="1"/>
  <c r="DC96" i="1"/>
  <c r="DC97" i="1"/>
  <c r="DC98" i="1"/>
  <c r="DC99" i="1"/>
  <c r="DC100" i="1"/>
  <c r="DC101" i="1"/>
  <c r="DC102" i="1"/>
  <c r="DC103" i="1"/>
  <c r="DC104" i="1"/>
  <c r="DC105" i="1"/>
  <c r="DC106" i="1"/>
  <c r="DC107" i="1"/>
  <c r="DC108" i="1"/>
  <c r="DC109" i="1"/>
  <c r="DC110" i="1"/>
  <c r="DC111" i="1"/>
  <c r="DC112" i="1"/>
  <c r="DC113" i="1"/>
  <c r="DC114" i="1"/>
  <c r="DC2" i="1"/>
  <c r="DB3" i="1"/>
  <c r="DB4" i="1"/>
  <c r="DB5" i="1"/>
  <c r="DB6" i="1"/>
  <c r="DB7" i="1"/>
  <c r="DB8" i="1"/>
  <c r="DB9" i="1"/>
  <c r="DB10" i="1"/>
  <c r="DB11" i="1"/>
  <c r="DB12" i="1"/>
  <c r="DB13" i="1"/>
  <c r="DB14" i="1"/>
  <c r="DB15" i="1"/>
  <c r="DB16" i="1"/>
  <c r="DB17" i="1"/>
  <c r="DB18" i="1"/>
  <c r="DB19" i="1"/>
  <c r="DB20" i="1"/>
  <c r="DB21" i="1"/>
  <c r="DB22" i="1"/>
  <c r="DB23" i="1"/>
  <c r="DB24" i="1"/>
  <c r="DB25" i="1"/>
  <c r="DB26" i="1"/>
  <c r="DB27" i="1"/>
  <c r="DB28" i="1"/>
  <c r="DB29" i="1"/>
  <c r="DB30" i="1"/>
  <c r="DB31" i="1"/>
  <c r="DB32" i="1"/>
  <c r="DB33" i="1"/>
  <c r="DB34" i="1"/>
  <c r="DB35" i="1"/>
  <c r="DB36" i="1"/>
  <c r="DB37" i="1"/>
  <c r="DB38" i="1"/>
  <c r="DB39" i="1"/>
  <c r="DB40" i="1"/>
  <c r="DB41" i="1"/>
  <c r="DB42" i="1"/>
  <c r="DB43" i="1"/>
  <c r="DB44" i="1"/>
  <c r="DB45" i="1"/>
  <c r="DB46" i="1"/>
  <c r="DB47" i="1"/>
  <c r="DB48" i="1"/>
  <c r="DB49" i="1"/>
  <c r="DB50" i="1"/>
  <c r="DB51" i="1"/>
  <c r="DB52" i="1"/>
  <c r="DB53" i="1"/>
  <c r="DB54" i="1"/>
  <c r="DB55" i="1"/>
  <c r="DB56" i="1"/>
  <c r="DB57" i="1"/>
  <c r="DB58" i="1"/>
  <c r="DB59" i="1"/>
  <c r="DB60" i="1"/>
  <c r="DB61" i="1"/>
  <c r="DB62" i="1"/>
  <c r="DB63" i="1"/>
  <c r="DB64" i="1"/>
  <c r="DB65" i="1"/>
  <c r="DB66" i="1"/>
  <c r="DB67" i="1"/>
  <c r="DB68" i="1"/>
  <c r="DB69" i="1"/>
  <c r="DB70" i="1"/>
  <c r="DB71" i="1"/>
  <c r="DB72" i="1"/>
  <c r="DB73" i="1"/>
  <c r="DB74" i="1"/>
  <c r="DB75" i="1"/>
  <c r="DB76" i="1"/>
  <c r="DB77" i="1"/>
  <c r="DB78" i="1"/>
  <c r="DB79" i="1"/>
  <c r="DB80" i="1"/>
  <c r="DB81" i="1"/>
  <c r="DB82" i="1"/>
  <c r="DB83" i="1"/>
  <c r="DB84" i="1"/>
  <c r="DB85" i="1"/>
  <c r="DB86" i="1"/>
  <c r="DB87" i="1"/>
  <c r="DB88" i="1"/>
  <c r="DB89" i="1"/>
  <c r="DB90" i="1"/>
  <c r="DB91" i="1"/>
  <c r="DB92" i="1"/>
  <c r="DB93" i="1"/>
  <c r="DB94" i="1"/>
  <c r="DB95" i="1"/>
  <c r="DB96" i="1"/>
  <c r="DB97" i="1"/>
  <c r="DB98" i="1"/>
  <c r="DB99" i="1"/>
  <c r="DB100" i="1"/>
  <c r="DB101" i="1"/>
  <c r="DB102" i="1"/>
  <c r="DB103" i="1"/>
  <c r="DB104" i="1"/>
  <c r="DB105" i="1"/>
  <c r="DB106" i="1"/>
  <c r="DB107" i="1"/>
  <c r="DB108" i="1"/>
  <c r="DB109" i="1"/>
  <c r="DB110" i="1"/>
  <c r="DB111" i="1"/>
  <c r="DB112" i="1"/>
  <c r="DB113" i="1"/>
  <c r="DB114" i="1"/>
  <c r="DB2" i="1"/>
  <c r="DA3" i="1"/>
  <c r="DA4" i="1"/>
  <c r="DA5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33" i="1"/>
  <c r="DA34" i="1"/>
  <c r="DA35" i="1"/>
  <c r="DA36" i="1"/>
  <c r="DA37" i="1"/>
  <c r="DA38" i="1"/>
  <c r="DA39" i="1"/>
  <c r="DA40" i="1"/>
  <c r="DA41" i="1"/>
  <c r="DA42" i="1"/>
  <c r="DA43" i="1"/>
  <c r="DA44" i="1"/>
  <c r="DA45" i="1"/>
  <c r="DA46" i="1"/>
  <c r="DA47" i="1"/>
  <c r="DA48" i="1"/>
  <c r="DA49" i="1"/>
  <c r="DA50" i="1"/>
  <c r="DA51" i="1"/>
  <c r="DA52" i="1"/>
  <c r="DA53" i="1"/>
  <c r="DA54" i="1"/>
  <c r="DA55" i="1"/>
  <c r="DA56" i="1"/>
  <c r="DA57" i="1"/>
  <c r="DA58" i="1"/>
  <c r="DA59" i="1"/>
  <c r="DA60" i="1"/>
  <c r="DA61" i="1"/>
  <c r="DA62" i="1"/>
  <c r="DA63" i="1"/>
  <c r="DA64" i="1"/>
  <c r="DA65" i="1"/>
  <c r="DA66" i="1"/>
  <c r="DA67" i="1"/>
  <c r="DA68" i="1"/>
  <c r="DA69" i="1"/>
  <c r="DA70" i="1"/>
  <c r="DA71" i="1"/>
  <c r="DA72" i="1"/>
  <c r="DA73" i="1"/>
  <c r="DA74" i="1"/>
  <c r="DA75" i="1"/>
  <c r="DA76" i="1"/>
  <c r="DA77" i="1"/>
  <c r="DA78" i="1"/>
  <c r="DA79" i="1"/>
  <c r="DA80" i="1"/>
  <c r="DA81" i="1"/>
  <c r="DA82" i="1"/>
  <c r="DA83" i="1"/>
  <c r="DA84" i="1"/>
  <c r="DA85" i="1"/>
  <c r="DA86" i="1"/>
  <c r="DA87" i="1"/>
  <c r="DA88" i="1"/>
  <c r="DA89" i="1"/>
  <c r="DA90" i="1"/>
  <c r="DA91" i="1"/>
  <c r="DA92" i="1"/>
  <c r="DA93" i="1"/>
  <c r="DA94" i="1"/>
  <c r="DA95" i="1"/>
  <c r="DA96" i="1"/>
  <c r="DA97" i="1"/>
  <c r="DA98" i="1"/>
  <c r="DA99" i="1"/>
  <c r="DA100" i="1"/>
  <c r="DA101" i="1"/>
  <c r="DA102" i="1"/>
  <c r="DA103" i="1"/>
  <c r="DA104" i="1"/>
  <c r="DA105" i="1"/>
  <c r="DA106" i="1"/>
  <c r="DA107" i="1"/>
  <c r="DA108" i="1"/>
  <c r="DA109" i="1"/>
  <c r="DA110" i="1"/>
  <c r="DA111" i="1"/>
  <c r="DA112" i="1"/>
  <c r="DA113" i="1"/>
  <c r="DA114" i="1"/>
  <c r="DA2" i="1"/>
</calcChain>
</file>

<file path=xl/sharedStrings.xml><?xml version="1.0" encoding="utf-8"?>
<sst xmlns="http://schemas.openxmlformats.org/spreadsheetml/2006/main" count="224" uniqueCount="114">
  <si>
    <t>year</t>
  </si>
  <si>
    <t>SITE</t>
  </si>
  <si>
    <t>SAM</t>
  </si>
  <si>
    <t>trldate</t>
  </si>
  <si>
    <t>lat_start</t>
  </si>
  <si>
    <t>long_start</t>
  </si>
  <si>
    <t>lat_end</t>
  </si>
  <si>
    <t>long_end</t>
  </si>
  <si>
    <t>secchi</t>
  </si>
  <si>
    <t>secchi2</t>
  </si>
  <si>
    <t>trldist</t>
  </si>
  <si>
    <t>knots</t>
  </si>
  <si>
    <t>grdepn</t>
  </si>
  <si>
    <t>sitem_n</t>
  </si>
  <si>
    <t>xo2surfn</t>
  </si>
  <si>
    <t>btemn</t>
  </si>
  <si>
    <t>xo2botn</t>
  </si>
  <si>
    <t>sidepn</t>
  </si>
  <si>
    <t>grtemn</t>
  </si>
  <si>
    <t>xgro2n</t>
  </si>
  <si>
    <t>sidep2n</t>
  </si>
  <si>
    <t>sitem2n</t>
  </si>
  <si>
    <t>xo2surf2n</t>
  </si>
  <si>
    <t>btem2n</t>
  </si>
  <si>
    <t>xobot2n</t>
  </si>
  <si>
    <t>grtem2n</t>
  </si>
  <si>
    <t>xgro22n</t>
  </si>
  <si>
    <t>ha</t>
  </si>
  <si>
    <t>month</t>
  </si>
  <si>
    <t>day</t>
  </si>
  <si>
    <t>TL_MODE</t>
  </si>
  <si>
    <t>npha_013_3</t>
  </si>
  <si>
    <t>npha_031_3</t>
  </si>
  <si>
    <t>npha_061_5</t>
  </si>
  <si>
    <t>npha_063_1</t>
  </si>
  <si>
    <t>npha_063_3</t>
  </si>
  <si>
    <t>npha_091_3</t>
  </si>
  <si>
    <t>npha_103_3</t>
  </si>
  <si>
    <t>npha_121_5</t>
  </si>
  <si>
    <t>npha_131_3</t>
  </si>
  <si>
    <t>npha_132_3</t>
  </si>
  <si>
    <t>npha_161_1</t>
  </si>
  <si>
    <t>npha_161_3</t>
  </si>
  <si>
    <t>npha_162_3</t>
  </si>
  <si>
    <t>npha_163_1</t>
  </si>
  <si>
    <t>npha_163_3</t>
  </si>
  <si>
    <t>npha_168_3</t>
  </si>
  <si>
    <t>npha_170_3</t>
  </si>
  <si>
    <t>npha_171_3</t>
  </si>
  <si>
    <t>npha_177_3</t>
  </si>
  <si>
    <t>npha_180_5</t>
  </si>
  <si>
    <t>npha_181_5</t>
  </si>
  <si>
    <t>npha_186_3</t>
  </si>
  <si>
    <t>npha_191_5</t>
  </si>
  <si>
    <t>npha_196_5</t>
  </si>
  <si>
    <t>npha_198_5</t>
  </si>
  <si>
    <t>npha_201_5</t>
  </si>
  <si>
    <t>npha_203_5</t>
  </si>
  <si>
    <t>npha_206_5</t>
  </si>
  <si>
    <t>npha_208_5</t>
  </si>
  <si>
    <t>npha_210_5</t>
  </si>
  <si>
    <t>npha_216_5</t>
  </si>
  <si>
    <t>npha_223_5</t>
  </si>
  <si>
    <t>npha_224_5</t>
  </si>
  <si>
    <t>npha_232_3</t>
  </si>
  <si>
    <t>npha_233_3</t>
  </si>
  <si>
    <t>npha_234_1</t>
  </si>
  <si>
    <t>npha_234_3</t>
  </si>
  <si>
    <t>npha_271_3</t>
  </si>
  <si>
    <t>npha_291_5</t>
  </si>
  <si>
    <t>npha_301_1</t>
  </si>
  <si>
    <t>npha_301_3</t>
  </si>
  <si>
    <t>npha_302_1</t>
  </si>
  <si>
    <t>npha_302_3</t>
  </si>
  <si>
    <t>npha_303_1</t>
  </si>
  <si>
    <t>npha_310_1</t>
  </si>
  <si>
    <t>npha_311_1</t>
  </si>
  <si>
    <t>npha_311_3</t>
  </si>
  <si>
    <t>npha_313_1</t>
  </si>
  <si>
    <t>npha_314_1</t>
  </si>
  <si>
    <t>npha_314_3</t>
  </si>
  <si>
    <t>npha_316_1</t>
  </si>
  <si>
    <t>npha_316_3</t>
  </si>
  <si>
    <t>npha_317_1</t>
  </si>
  <si>
    <t>npha_317_3</t>
  </si>
  <si>
    <t>npha_318_1</t>
  </si>
  <si>
    <t>npha_318_3</t>
  </si>
  <si>
    <t>npha_319_1</t>
  </si>
  <si>
    <t>npha_319_3</t>
  </si>
  <si>
    <t>npha_322_1</t>
  </si>
  <si>
    <t>npha_331_1</t>
  </si>
  <si>
    <t>npha_331_3</t>
  </si>
  <si>
    <t>npha_334_1</t>
  </si>
  <si>
    <t>npha_334_2</t>
  </si>
  <si>
    <t>npha_334_4</t>
  </si>
  <si>
    <t>npha_341_5</t>
  </si>
  <si>
    <t>npha_342_5</t>
  </si>
  <si>
    <t>npha_361_5</t>
  </si>
  <si>
    <t>npha_366_5</t>
  </si>
  <si>
    <t>npha_367_5</t>
  </si>
  <si>
    <t>npha_371_1</t>
  </si>
  <si>
    <t>npha_371_3</t>
  </si>
  <si>
    <t>npha_601_3</t>
  </si>
  <si>
    <t>npha_all_spc</t>
  </si>
  <si>
    <t>BOTTOM</t>
  </si>
  <si>
    <t>TOP</t>
  </si>
  <si>
    <t>MIDDLE</t>
  </si>
  <si>
    <t>ALEWIFN</t>
  </si>
  <si>
    <t>GSHADN</t>
  </si>
  <si>
    <t>ESHIN</t>
  </si>
  <si>
    <t>MiscSHIN</t>
  </si>
  <si>
    <t>OtherSOFT</t>
  </si>
  <si>
    <t>SPINCAT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</si>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</sst>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14"/>
  <sheetViews>
    <sheetView tabSelected="1" workbookViewId="0">
      <selection activeCell="DD8" sqref="DD8"/>
    </sheetView>
  </sheetViews>
  <sheetFormatPr defaultRowHeight="14.5" x14ac:dyDescent="0.35"/>
  <cols>
    <col min="1" max="1" width="4.81640625" bestFit="1" customWidth="1"/>
    <col min="2" max="2" width="4.26953125" bestFit="1" customWidth="1"/>
    <col min="3" max="3" width="4.6328125" bestFit="1" customWidth="1"/>
    <col min="4" max="4" width="9.453125" bestFit="1" customWidth="1"/>
    <col min="5" max="5" width="11.81640625" bestFit="1" customWidth="1"/>
    <col min="6" max="6" width="12.453125" bestFit="1" customWidth="1"/>
    <col min="7" max="7" width="8.81640625" bestFit="1" customWidth="1"/>
    <col min="8" max="8" width="9.453125" bestFit="1" customWidth="1"/>
    <col min="9" max="9" width="5.81640625" bestFit="1" customWidth="1"/>
    <col min="10" max="10" width="6.81640625" bestFit="1" customWidth="1"/>
    <col min="11" max="11" width="5.6328125" bestFit="1" customWidth="1"/>
    <col min="12" max="12" width="5.36328125" bestFit="1" customWidth="1"/>
    <col min="13" max="13" width="6.7265625" bestFit="1" customWidth="1"/>
    <col min="14" max="14" width="7.453125" bestFit="1" customWidth="1"/>
    <col min="15" max="15" width="8.1796875" bestFit="1" customWidth="1"/>
    <col min="16" max="16" width="6.26953125" bestFit="1" customWidth="1"/>
    <col min="17" max="17" width="7.7265625" bestFit="1" customWidth="1"/>
    <col min="18" max="18" width="6.36328125" bestFit="1" customWidth="1"/>
    <col min="19" max="19" width="6.81640625" bestFit="1" customWidth="1"/>
    <col min="20" max="20" width="6.54296875" bestFit="1" customWidth="1"/>
    <col min="21" max="21" width="7.36328125" bestFit="1" customWidth="1"/>
    <col min="22" max="22" width="7.453125" bestFit="1" customWidth="1"/>
    <col min="23" max="23" width="9.1796875" bestFit="1" customWidth="1"/>
    <col min="24" max="24" width="7.26953125" bestFit="1" customWidth="1"/>
    <col min="25" max="25" width="7.7265625" bestFit="1" customWidth="1"/>
    <col min="26" max="26" width="7.81640625" bestFit="1" customWidth="1"/>
    <col min="27" max="27" width="7.54296875" bestFit="1" customWidth="1"/>
    <col min="28" max="28" width="8.81640625" bestFit="1" customWidth="1"/>
    <col min="29" max="29" width="6.36328125" bestFit="1" customWidth="1"/>
    <col min="30" max="30" width="3.81640625" bestFit="1" customWidth="1"/>
    <col min="31" max="31" width="9" bestFit="1" customWidth="1"/>
    <col min="32" max="103" width="11.08984375" bestFit="1" customWidth="1"/>
    <col min="104" max="104" width="11.7265625" bestFit="1" customWidth="1"/>
    <col min="109" max="109" width="9.81640625" bestFit="1" customWidth="1"/>
  </cols>
  <sheetData>
    <row r="1" spans="1:1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s="3" t="s">
        <v>107</v>
      </c>
      <c r="DB1" s="3" t="s">
        <v>108</v>
      </c>
      <c r="DC1" s="3" t="s">
        <v>109</v>
      </c>
      <c r="DD1" s="3" t="s">
        <v>110</v>
      </c>
      <c r="DE1" s="3" t="s">
        <v>111</v>
      </c>
      <c r="DF1" s="3" t="s">
        <v>112</v>
      </c>
      <c r="DG1" s="3" t="s">
        <v>113</v>
      </c>
    </row>
    <row r="2" spans="1:111" x14ac:dyDescent="0.35">
      <c r="A2">
        <v>2012</v>
      </c>
      <c r="B2">
        <v>19</v>
      </c>
      <c r="C2">
        <v>101</v>
      </c>
      <c r="D2" s="1">
        <v>41148</v>
      </c>
      <c r="E2">
        <v>41.996499999999997</v>
      </c>
      <c r="F2">
        <v>-82.594333333333296</v>
      </c>
      <c r="G2">
        <v>42.003169999999997</v>
      </c>
      <c r="H2">
        <v>-82.587999999999994</v>
      </c>
      <c r="I2">
        <v>1.9</v>
      </c>
      <c r="J2">
        <v>1.7</v>
      </c>
      <c r="K2">
        <v>0.4</v>
      </c>
      <c r="L2">
        <v>3</v>
      </c>
      <c r="M2">
        <v>9.1999999999999993</v>
      </c>
      <c r="N2">
        <v>24.7</v>
      </c>
      <c r="O2">
        <v>8.15</v>
      </c>
      <c r="P2">
        <v>24.8</v>
      </c>
      <c r="Q2">
        <v>7.78</v>
      </c>
      <c r="R2">
        <v>9.1999999999999993</v>
      </c>
      <c r="S2">
        <v>24.8</v>
      </c>
      <c r="T2">
        <v>7.78</v>
      </c>
      <c r="U2">
        <v>8.6</v>
      </c>
      <c r="V2">
        <v>24.5</v>
      </c>
      <c r="W2">
        <v>8.36</v>
      </c>
      <c r="X2">
        <v>24.7</v>
      </c>
      <c r="Y2">
        <v>6.33</v>
      </c>
      <c r="Z2">
        <v>24.7</v>
      </c>
      <c r="AA2">
        <v>6.3</v>
      </c>
      <c r="AB2">
        <v>0.22223999999999999</v>
      </c>
      <c r="AC2">
        <v>8</v>
      </c>
      <c r="AD2">
        <v>27</v>
      </c>
      <c r="AE2" t="s">
        <v>104</v>
      </c>
      <c r="AF2" s="2">
        <v>0</v>
      </c>
      <c r="AG2" s="2">
        <v>0</v>
      </c>
      <c r="AH2" s="2">
        <v>0</v>
      </c>
      <c r="AI2" s="2">
        <v>733.44132469402405</v>
      </c>
      <c r="AJ2" s="2">
        <v>4.4996400287976996</v>
      </c>
      <c r="AK2" s="2">
        <v>0</v>
      </c>
      <c r="AL2" s="2">
        <v>0</v>
      </c>
      <c r="AM2" s="2">
        <v>26.997840172786201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26.997840172786201</v>
      </c>
      <c r="AZ2" s="2">
        <v>0</v>
      </c>
      <c r="BA2" s="2">
        <v>4.4996400287976996</v>
      </c>
      <c r="BB2" s="2">
        <v>4.4996400287976996</v>
      </c>
      <c r="BC2" s="2">
        <v>10772.1382289417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139.488840892729</v>
      </c>
      <c r="BS2" s="2">
        <v>36505.579553635704</v>
      </c>
      <c r="BT2" s="2">
        <v>184.485241180706</v>
      </c>
      <c r="BU2" s="2">
        <v>143.98848092152599</v>
      </c>
      <c r="BV2" s="2">
        <v>4.4996400287976996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283.47732181425499</v>
      </c>
      <c r="CN2" s="2">
        <v>112.49100071994199</v>
      </c>
      <c r="CO2" s="2">
        <v>8.9992800575953904</v>
      </c>
      <c r="CP2" s="2">
        <v>8.9992800575953904</v>
      </c>
      <c r="CQ2" s="2">
        <v>0</v>
      </c>
      <c r="CR2" s="2">
        <v>0</v>
      </c>
      <c r="CS2" s="2">
        <v>0</v>
      </c>
      <c r="CT2" s="2">
        <v>26.997840172786201</v>
      </c>
      <c r="CU2" s="2">
        <v>0</v>
      </c>
      <c r="CV2" s="2">
        <v>0</v>
      </c>
      <c r="CW2" s="2">
        <v>0</v>
      </c>
      <c r="CX2" s="2">
        <v>31.497480201583901</v>
      </c>
      <c r="CY2" s="2">
        <v>0</v>
      </c>
      <c r="CZ2" s="2">
        <v>49023.578113750897</v>
      </c>
      <c r="DA2" s="2">
        <f>AH2</f>
        <v>0</v>
      </c>
      <c r="DB2" s="2">
        <f>AI2+AJ2</f>
        <v>737.94096472282172</v>
      </c>
      <c r="DC2" s="2">
        <f>BC2</f>
        <v>10772.1382289417</v>
      </c>
      <c r="DD2" s="2">
        <f>BE2+BF2+BG2+BH2+BI2</f>
        <v>0</v>
      </c>
      <c r="DE2" s="2">
        <f>SUM(AM2,BB2,BR2,CU2)</f>
        <v>170.9863210943129</v>
      </c>
      <c r="DF2" s="2">
        <f>BS2+BU2+CM2+CO2+CW2</f>
        <v>36942.044636429084</v>
      </c>
      <c r="DG2" s="2">
        <f>SUM(DA2:DF2)</f>
        <v>48623.110151187917</v>
      </c>
    </row>
    <row r="3" spans="1:111" x14ac:dyDescent="0.35">
      <c r="A3">
        <v>2012</v>
      </c>
      <c r="B3">
        <v>19</v>
      </c>
      <c r="C3">
        <v>102</v>
      </c>
      <c r="D3" s="1">
        <v>41148</v>
      </c>
      <c r="E3">
        <v>41.9956666666667</v>
      </c>
      <c r="F3">
        <v>-82.593000000000004</v>
      </c>
      <c r="G3">
        <v>42.002670000000002</v>
      </c>
      <c r="H3">
        <v>-82.587000000000003</v>
      </c>
      <c r="I3">
        <v>1.9</v>
      </c>
      <c r="J3">
        <v>1.7</v>
      </c>
      <c r="K3">
        <v>0.5</v>
      </c>
      <c r="L3">
        <v>3</v>
      </c>
      <c r="M3">
        <v>5</v>
      </c>
      <c r="N3">
        <v>24.7</v>
      </c>
      <c r="O3">
        <v>8.15</v>
      </c>
      <c r="P3">
        <v>24.8</v>
      </c>
      <c r="Q3">
        <v>7.78</v>
      </c>
      <c r="R3">
        <v>9.1999999999999993</v>
      </c>
      <c r="S3">
        <v>24.8</v>
      </c>
      <c r="T3">
        <v>8.1199999999999992</v>
      </c>
      <c r="U3">
        <v>8.6999999999999993</v>
      </c>
      <c r="V3">
        <v>24.5</v>
      </c>
      <c r="W3">
        <v>8.36</v>
      </c>
      <c r="X3">
        <v>24.7</v>
      </c>
      <c r="Y3">
        <v>6.33</v>
      </c>
      <c r="Z3">
        <v>24.7</v>
      </c>
      <c r="AA3">
        <v>8.1</v>
      </c>
      <c r="AB3">
        <v>0.27779999999999999</v>
      </c>
      <c r="AC3">
        <v>8</v>
      </c>
      <c r="AD3">
        <v>27</v>
      </c>
      <c r="AE3" t="s">
        <v>105</v>
      </c>
      <c r="AF3" s="2">
        <v>0</v>
      </c>
      <c r="AG3" s="2">
        <v>0</v>
      </c>
      <c r="AH3" s="2">
        <v>7.1994240460763104</v>
      </c>
      <c r="AI3" s="2">
        <v>431.965442764579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10313.174946004299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17.998560115190799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3.5997120230381601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7.1994240460763104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10781.1375089993</v>
      </c>
      <c r="DA3" s="2">
        <f t="shared" ref="DA3:DA66" si="0">AH3</f>
        <v>7.1994240460763104</v>
      </c>
      <c r="DB3" s="2">
        <f t="shared" ref="DB3:DB66" si="1">AI3+AJ3</f>
        <v>431.965442764579</v>
      </c>
      <c r="DC3" s="2">
        <f t="shared" ref="DC3:DC66" si="2">BC3</f>
        <v>10313.174946004299</v>
      </c>
      <c r="DD3" s="2">
        <f t="shared" ref="DD3:DD66" si="3">BE3+BF3+BG3+BH3+BI3</f>
        <v>0</v>
      </c>
      <c r="DE3" s="2">
        <f t="shared" ref="DE3:DE66" si="4">SUM(AM3,BB3,BR3,CU3)</f>
        <v>0</v>
      </c>
      <c r="DF3" s="2">
        <f t="shared" ref="DF3:DF66" si="5">BS3+BU3+CM3+CO3+CW3</f>
        <v>17.998560115190799</v>
      </c>
      <c r="DG3" s="2">
        <f t="shared" ref="DG3:DG66" si="6">SUM(DA3:DF3)</f>
        <v>10770.338372930146</v>
      </c>
    </row>
    <row r="4" spans="1:111" x14ac:dyDescent="0.35">
      <c r="A4">
        <v>2012</v>
      </c>
      <c r="B4">
        <v>18</v>
      </c>
      <c r="C4">
        <v>103</v>
      </c>
      <c r="D4" s="1">
        <v>41148</v>
      </c>
      <c r="E4">
        <v>41.704500000000003</v>
      </c>
      <c r="F4">
        <v>-82.551833333333306</v>
      </c>
      <c r="G4">
        <v>41.713000000000001</v>
      </c>
      <c r="H4">
        <v>-82.552000000000007</v>
      </c>
      <c r="I4">
        <v>1.5</v>
      </c>
      <c r="J4">
        <v>1.6</v>
      </c>
      <c r="K4">
        <v>0.5</v>
      </c>
      <c r="L4">
        <v>3</v>
      </c>
      <c r="M4">
        <v>12.1</v>
      </c>
      <c r="N4">
        <v>24.4</v>
      </c>
      <c r="O4">
        <v>8.2200000000000006</v>
      </c>
      <c r="P4">
        <v>24.3</v>
      </c>
      <c r="Q4">
        <v>7.95</v>
      </c>
      <c r="R4">
        <v>12.1</v>
      </c>
      <c r="S4">
        <v>24.3</v>
      </c>
      <c r="T4">
        <v>7.95</v>
      </c>
      <c r="U4">
        <v>11.9</v>
      </c>
      <c r="V4">
        <v>24.3</v>
      </c>
      <c r="W4">
        <v>8.1999999999999993</v>
      </c>
      <c r="X4">
        <v>24.3</v>
      </c>
      <c r="Y4">
        <v>8.01</v>
      </c>
      <c r="Z4">
        <v>24.3</v>
      </c>
      <c r="AA4">
        <v>8.01</v>
      </c>
      <c r="AB4">
        <v>0.27779999999999999</v>
      </c>
      <c r="AC4">
        <v>8</v>
      </c>
      <c r="AD4">
        <v>27</v>
      </c>
      <c r="AE4" t="s">
        <v>104</v>
      </c>
      <c r="AF4" s="2">
        <v>0</v>
      </c>
      <c r="AG4" s="2">
        <v>0</v>
      </c>
      <c r="AH4" s="2">
        <v>0</v>
      </c>
      <c r="AI4" s="2">
        <v>79.193664506839497</v>
      </c>
      <c r="AJ4" s="2">
        <v>0</v>
      </c>
      <c r="AK4" s="2">
        <v>0</v>
      </c>
      <c r="AL4" s="2">
        <v>0</v>
      </c>
      <c r="AM4" s="2">
        <v>25.197984161267101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8282.9373650107991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7.1994240460763104</v>
      </c>
      <c r="BQ4" s="2">
        <v>0</v>
      </c>
      <c r="BR4" s="2">
        <v>100.79193664506801</v>
      </c>
      <c r="BS4" s="2">
        <v>16177.105831533499</v>
      </c>
      <c r="BT4" s="2">
        <v>262.77897768178502</v>
      </c>
      <c r="BU4" s="2">
        <v>93.592512598992101</v>
      </c>
      <c r="BV4" s="2">
        <v>7.1994240460763104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503.95968322534202</v>
      </c>
      <c r="CN4" s="2">
        <v>21.5982721382289</v>
      </c>
      <c r="CO4" s="2">
        <v>0</v>
      </c>
      <c r="CP4" s="2">
        <v>0</v>
      </c>
      <c r="CQ4" s="2">
        <v>3.5997120230381601</v>
      </c>
      <c r="CR4" s="2">
        <v>0</v>
      </c>
      <c r="CS4" s="2">
        <v>0</v>
      </c>
      <c r="CT4" s="2">
        <v>0</v>
      </c>
      <c r="CU4" s="2">
        <v>82.793376529877605</v>
      </c>
      <c r="CV4" s="2">
        <v>0</v>
      </c>
      <c r="CW4" s="2">
        <v>3.5997120230381601</v>
      </c>
      <c r="CX4" s="2">
        <v>287.976961843053</v>
      </c>
      <c r="CY4" s="2">
        <v>0</v>
      </c>
      <c r="CZ4" s="2">
        <v>25939.524838013</v>
      </c>
      <c r="DA4" s="2">
        <f t="shared" si="0"/>
        <v>0</v>
      </c>
      <c r="DB4" s="2">
        <f t="shared" si="1"/>
        <v>79.193664506839497</v>
      </c>
      <c r="DC4" s="2">
        <f t="shared" si="2"/>
        <v>8282.9373650107991</v>
      </c>
      <c r="DD4" s="2">
        <f t="shared" si="3"/>
        <v>0</v>
      </c>
      <c r="DE4" s="2">
        <f t="shared" si="4"/>
        <v>208.78329733621271</v>
      </c>
      <c r="DF4" s="2">
        <f t="shared" si="5"/>
        <v>16778.257739380871</v>
      </c>
      <c r="DG4" s="2">
        <f t="shared" si="6"/>
        <v>25349.172066234722</v>
      </c>
    </row>
    <row r="5" spans="1:111" x14ac:dyDescent="0.35">
      <c r="A5">
        <v>2012</v>
      </c>
      <c r="B5">
        <v>18</v>
      </c>
      <c r="C5">
        <v>104</v>
      </c>
      <c r="D5" s="1">
        <v>41148</v>
      </c>
      <c r="E5">
        <v>41.698166666666701</v>
      </c>
      <c r="F5">
        <v>-82.548666666666705</v>
      </c>
      <c r="G5">
        <v>41.705500000000001</v>
      </c>
      <c r="H5">
        <v>-82.554500000000004</v>
      </c>
      <c r="I5">
        <v>1.5</v>
      </c>
      <c r="J5">
        <v>1.6</v>
      </c>
      <c r="K5">
        <v>0.5</v>
      </c>
      <c r="L5">
        <v>3</v>
      </c>
      <c r="M5">
        <v>9</v>
      </c>
      <c r="N5">
        <v>24.4</v>
      </c>
      <c r="O5">
        <v>8.2200000000000006</v>
      </c>
      <c r="P5">
        <v>24.3</v>
      </c>
      <c r="Q5">
        <v>7.95</v>
      </c>
      <c r="R5">
        <v>12.4</v>
      </c>
      <c r="S5">
        <v>24.3</v>
      </c>
      <c r="T5">
        <v>8.07</v>
      </c>
      <c r="U5">
        <v>12</v>
      </c>
      <c r="V5">
        <v>24.3</v>
      </c>
      <c r="W5">
        <v>8.1999999999999993</v>
      </c>
      <c r="X5">
        <v>24.3</v>
      </c>
      <c r="Y5">
        <v>8.01</v>
      </c>
      <c r="Z5">
        <v>24.3</v>
      </c>
      <c r="AA5">
        <v>8.0299999999999994</v>
      </c>
      <c r="AB5">
        <v>0.27779999999999999</v>
      </c>
      <c r="AC5">
        <v>8</v>
      </c>
      <c r="AD5">
        <v>27</v>
      </c>
      <c r="AE5" t="s">
        <v>106</v>
      </c>
      <c r="AF5" s="2">
        <v>0</v>
      </c>
      <c r="AG5" s="2">
        <v>0</v>
      </c>
      <c r="AH5" s="2">
        <v>3.5997120230381601</v>
      </c>
      <c r="AI5" s="2">
        <v>10.7991360691145</v>
      </c>
      <c r="AJ5" s="2">
        <v>0</v>
      </c>
      <c r="AK5" s="2">
        <v>0</v>
      </c>
      <c r="AL5" s="2">
        <v>0</v>
      </c>
      <c r="AM5" s="2">
        <v>3.5997120230381601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5662.3470122390199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50.395968322534202</v>
      </c>
      <c r="BT5" s="2">
        <v>0</v>
      </c>
      <c r="BU5" s="2">
        <v>43.1965442764579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118.790496760259</v>
      </c>
      <c r="CN5" s="2">
        <v>0</v>
      </c>
      <c r="CO5" s="2">
        <v>0</v>
      </c>
      <c r="CP5" s="2">
        <v>0</v>
      </c>
      <c r="CQ5" s="2">
        <v>3.5997120230381601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5896.3282937365002</v>
      </c>
      <c r="DA5" s="2">
        <f t="shared" si="0"/>
        <v>3.5997120230381601</v>
      </c>
      <c r="DB5" s="2">
        <f t="shared" si="1"/>
        <v>10.7991360691145</v>
      </c>
      <c r="DC5" s="2">
        <f t="shared" si="2"/>
        <v>5662.3470122390199</v>
      </c>
      <c r="DD5" s="2">
        <f t="shared" si="3"/>
        <v>0</v>
      </c>
      <c r="DE5" s="2">
        <f t="shared" si="4"/>
        <v>3.5997120230381601</v>
      </c>
      <c r="DF5" s="2">
        <f t="shared" si="5"/>
        <v>212.3830093592511</v>
      </c>
      <c r="DG5" s="2">
        <f t="shared" si="6"/>
        <v>5892.7285817134625</v>
      </c>
    </row>
    <row r="6" spans="1:111" x14ac:dyDescent="0.35">
      <c r="A6">
        <v>2012</v>
      </c>
      <c r="B6">
        <v>18</v>
      </c>
      <c r="C6">
        <v>105</v>
      </c>
      <c r="D6" s="1">
        <v>41148</v>
      </c>
      <c r="E6">
        <v>41.702500000000001</v>
      </c>
      <c r="F6">
        <v>-82.552333333333294</v>
      </c>
      <c r="G6">
        <v>41.709330000000001</v>
      </c>
      <c r="H6">
        <v>-82.558499999999995</v>
      </c>
      <c r="I6">
        <v>1.5</v>
      </c>
      <c r="J6">
        <v>1.6</v>
      </c>
      <c r="K6">
        <v>0.5</v>
      </c>
      <c r="L6">
        <v>3</v>
      </c>
      <c r="M6">
        <v>6</v>
      </c>
      <c r="N6">
        <v>24.4</v>
      </c>
      <c r="O6">
        <v>8.2200000000000006</v>
      </c>
      <c r="P6">
        <v>24.3</v>
      </c>
      <c r="Q6">
        <v>7.95</v>
      </c>
      <c r="R6">
        <v>12.2</v>
      </c>
      <c r="S6">
        <v>24.3</v>
      </c>
      <c r="T6">
        <v>8.07</v>
      </c>
      <c r="U6">
        <v>11.9</v>
      </c>
      <c r="V6">
        <v>24.3</v>
      </c>
      <c r="W6">
        <v>8.1999999999999993</v>
      </c>
      <c r="X6">
        <v>24.3</v>
      </c>
      <c r="Y6">
        <v>8.01</v>
      </c>
      <c r="Z6">
        <v>24.3</v>
      </c>
      <c r="AA6">
        <v>8.0299999999999994</v>
      </c>
      <c r="AB6">
        <v>0.27779999999999999</v>
      </c>
      <c r="AC6">
        <v>8</v>
      </c>
      <c r="AD6">
        <v>27</v>
      </c>
      <c r="AE6" t="s">
        <v>105</v>
      </c>
      <c r="AF6" s="2">
        <v>0</v>
      </c>
      <c r="AG6" s="2">
        <v>0</v>
      </c>
      <c r="AH6" s="2">
        <v>0</v>
      </c>
      <c r="AI6" s="2">
        <v>93.592512598992101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2976.9618430525602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10.7991360691145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3081.3534917206598</v>
      </c>
      <c r="DA6" s="2">
        <f t="shared" si="0"/>
        <v>0</v>
      </c>
      <c r="DB6" s="2">
        <f t="shared" si="1"/>
        <v>93.592512598992101</v>
      </c>
      <c r="DC6" s="2">
        <f t="shared" si="2"/>
        <v>2976.9618430525602</v>
      </c>
      <c r="DD6" s="2">
        <f t="shared" si="3"/>
        <v>0</v>
      </c>
      <c r="DE6" s="2">
        <f t="shared" si="4"/>
        <v>0</v>
      </c>
      <c r="DF6" s="2">
        <f t="shared" si="5"/>
        <v>10.7991360691145</v>
      </c>
      <c r="DG6" s="2">
        <f t="shared" si="6"/>
        <v>3081.3534917206666</v>
      </c>
    </row>
    <row r="7" spans="1:111" x14ac:dyDescent="0.35">
      <c r="A7">
        <v>2012</v>
      </c>
      <c r="B7">
        <v>12</v>
      </c>
      <c r="C7">
        <v>106</v>
      </c>
      <c r="D7" s="1">
        <v>41149</v>
      </c>
      <c r="E7">
        <v>41.948333333333302</v>
      </c>
      <c r="F7">
        <v>-82.694500000000005</v>
      </c>
      <c r="G7">
        <v>41.934829999999998</v>
      </c>
      <c r="H7">
        <v>-82.690669999999997</v>
      </c>
      <c r="I7">
        <v>1.6</v>
      </c>
      <c r="J7">
        <v>1.6</v>
      </c>
      <c r="K7">
        <v>0.5</v>
      </c>
      <c r="L7">
        <v>3</v>
      </c>
      <c r="M7">
        <v>10.8</v>
      </c>
      <c r="N7">
        <v>24.3</v>
      </c>
      <c r="O7">
        <v>8.07</v>
      </c>
      <c r="P7">
        <v>24.3</v>
      </c>
      <c r="Q7">
        <v>8.06</v>
      </c>
      <c r="R7">
        <v>10.8</v>
      </c>
      <c r="S7">
        <v>24.3</v>
      </c>
      <c r="T7">
        <v>8.06</v>
      </c>
      <c r="U7">
        <v>10.9</v>
      </c>
      <c r="V7">
        <v>24.1</v>
      </c>
      <c r="W7">
        <v>8.32</v>
      </c>
      <c r="X7">
        <v>24.2</v>
      </c>
      <c r="Y7">
        <v>5.03</v>
      </c>
      <c r="Z7">
        <v>24.3</v>
      </c>
      <c r="AA7">
        <v>5.03</v>
      </c>
      <c r="AB7">
        <v>0.27779999999999999</v>
      </c>
      <c r="AC7">
        <v>8</v>
      </c>
      <c r="AD7">
        <v>28</v>
      </c>
      <c r="AE7" t="s">
        <v>104</v>
      </c>
      <c r="AF7" s="2">
        <v>0</v>
      </c>
      <c r="AG7" s="2">
        <v>0</v>
      </c>
      <c r="AH7" s="2">
        <v>0</v>
      </c>
      <c r="AI7" s="2">
        <v>2181.4254859611201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2246.2203023758102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248.38012958963299</v>
      </c>
      <c r="BS7" s="2">
        <v>1339.0928725701899</v>
      </c>
      <c r="BT7" s="2">
        <v>46.796256299496001</v>
      </c>
      <c r="BU7" s="2">
        <v>93.592512598992101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219.582433405328</v>
      </c>
      <c r="CN7" s="2">
        <v>194.38444924405999</v>
      </c>
      <c r="CO7" s="2">
        <v>0</v>
      </c>
      <c r="CP7" s="2">
        <v>25.197984161267101</v>
      </c>
      <c r="CQ7" s="2">
        <v>7.1994240460763104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28.797696184305298</v>
      </c>
      <c r="CY7" s="2">
        <v>0</v>
      </c>
      <c r="CZ7" s="2">
        <v>6630.6695464362901</v>
      </c>
      <c r="DA7" s="2">
        <f t="shared" si="0"/>
        <v>0</v>
      </c>
      <c r="DB7" s="2">
        <f t="shared" si="1"/>
        <v>2181.4254859611201</v>
      </c>
      <c r="DC7" s="2">
        <f t="shared" si="2"/>
        <v>2246.2203023758102</v>
      </c>
      <c r="DD7" s="2">
        <f t="shared" si="3"/>
        <v>0</v>
      </c>
      <c r="DE7" s="2">
        <f t="shared" si="4"/>
        <v>248.38012958963299</v>
      </c>
      <c r="DF7" s="2">
        <f t="shared" si="5"/>
        <v>1652.2678185745099</v>
      </c>
      <c r="DG7" s="2">
        <f t="shared" si="6"/>
        <v>6328.293736501073</v>
      </c>
    </row>
    <row r="8" spans="1:111" x14ac:dyDescent="0.35">
      <c r="A8">
        <v>2012</v>
      </c>
      <c r="B8">
        <v>12</v>
      </c>
      <c r="C8">
        <v>107</v>
      </c>
      <c r="D8" s="1">
        <v>41149</v>
      </c>
      <c r="E8">
        <v>41.945333333333302</v>
      </c>
      <c r="F8">
        <v>-82.695499999999996</v>
      </c>
      <c r="G8">
        <v>41.937669999999997</v>
      </c>
      <c r="H8">
        <v>-82.694000000000003</v>
      </c>
      <c r="I8">
        <v>1.6</v>
      </c>
      <c r="J8">
        <v>1.6</v>
      </c>
      <c r="K8">
        <v>0.4</v>
      </c>
      <c r="L8">
        <v>3</v>
      </c>
      <c r="M8">
        <v>8</v>
      </c>
      <c r="N8">
        <v>24.3</v>
      </c>
      <c r="O8">
        <v>8.07</v>
      </c>
      <c r="P8">
        <v>24.3</v>
      </c>
      <c r="Q8">
        <v>8.06</v>
      </c>
      <c r="R8">
        <v>10.8</v>
      </c>
      <c r="S8">
        <v>24.3</v>
      </c>
      <c r="T8">
        <v>8.0399999999999991</v>
      </c>
      <c r="U8">
        <v>10.9</v>
      </c>
      <c r="V8">
        <v>24.1</v>
      </c>
      <c r="W8">
        <v>8.32</v>
      </c>
      <c r="X8">
        <v>24.2</v>
      </c>
      <c r="Y8">
        <v>5.03</v>
      </c>
      <c r="Z8">
        <v>24.3</v>
      </c>
      <c r="AA8">
        <v>8.08</v>
      </c>
      <c r="AB8">
        <v>0.22223999999999999</v>
      </c>
      <c r="AC8">
        <v>8</v>
      </c>
      <c r="AD8">
        <v>28</v>
      </c>
      <c r="AE8" t="s">
        <v>106</v>
      </c>
      <c r="AF8" s="2">
        <v>0</v>
      </c>
      <c r="AG8" s="2">
        <v>0</v>
      </c>
      <c r="AH8" s="2">
        <v>0</v>
      </c>
      <c r="AI8" s="2">
        <v>67.494600431965395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26025.9179265659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26.997840172786201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4.4996400287976996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4.4996400287976996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26129.4096472282</v>
      </c>
      <c r="DA8" s="2">
        <f t="shared" si="0"/>
        <v>0</v>
      </c>
      <c r="DB8" s="2">
        <f t="shared" si="1"/>
        <v>67.494600431965395</v>
      </c>
      <c r="DC8" s="2">
        <f t="shared" si="2"/>
        <v>26025.9179265659</v>
      </c>
      <c r="DD8" s="2">
        <f t="shared" si="3"/>
        <v>0</v>
      </c>
      <c r="DE8" s="2">
        <f t="shared" si="4"/>
        <v>0</v>
      </c>
      <c r="DF8" s="2">
        <f t="shared" si="5"/>
        <v>31.497480201583901</v>
      </c>
      <c r="DG8" s="2">
        <f t="shared" si="6"/>
        <v>26124.910007199447</v>
      </c>
    </row>
    <row r="9" spans="1:111" x14ac:dyDescent="0.35">
      <c r="A9">
        <v>2012</v>
      </c>
      <c r="B9">
        <v>12</v>
      </c>
      <c r="C9">
        <v>108</v>
      </c>
      <c r="D9" s="1">
        <v>41149</v>
      </c>
      <c r="E9">
        <v>41.948999999999998</v>
      </c>
      <c r="F9">
        <v>-82.697000000000003</v>
      </c>
      <c r="G9">
        <v>41.941000000000003</v>
      </c>
      <c r="H9">
        <v>-82.693669999999997</v>
      </c>
      <c r="I9">
        <v>1.6</v>
      </c>
      <c r="J9">
        <v>1.6</v>
      </c>
      <c r="K9">
        <v>0.5</v>
      </c>
      <c r="L9">
        <v>3</v>
      </c>
      <c r="M9">
        <v>5</v>
      </c>
      <c r="N9">
        <v>24.3</v>
      </c>
      <c r="O9">
        <v>8.07</v>
      </c>
      <c r="P9">
        <v>24.3</v>
      </c>
      <c r="Q9">
        <v>8.06</v>
      </c>
      <c r="R9">
        <v>10.7</v>
      </c>
      <c r="S9">
        <v>24.3</v>
      </c>
      <c r="T9">
        <v>8.08</v>
      </c>
      <c r="U9">
        <v>10.8</v>
      </c>
      <c r="V9">
        <v>24.1</v>
      </c>
      <c r="W9">
        <v>8.32</v>
      </c>
      <c r="X9">
        <v>24.2</v>
      </c>
      <c r="Y9">
        <v>5.03</v>
      </c>
      <c r="Z9">
        <v>24.2</v>
      </c>
      <c r="AA9">
        <v>8.09</v>
      </c>
      <c r="AB9">
        <v>0.27779999999999999</v>
      </c>
      <c r="AC9">
        <v>8</v>
      </c>
      <c r="AD9">
        <v>28</v>
      </c>
      <c r="AE9" t="s">
        <v>105</v>
      </c>
      <c r="AF9" s="2">
        <v>0</v>
      </c>
      <c r="AG9" s="2">
        <v>0</v>
      </c>
      <c r="AH9" s="2">
        <v>0</v>
      </c>
      <c r="AI9" s="2">
        <v>7.1994240460763104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8084.9532037437002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3.5997120230381601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7.1994240460763104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8102.9517638588904</v>
      </c>
      <c r="DA9" s="2">
        <f t="shared" si="0"/>
        <v>0</v>
      </c>
      <c r="DB9" s="2">
        <f t="shared" si="1"/>
        <v>7.1994240460763104</v>
      </c>
      <c r="DC9" s="2">
        <f t="shared" si="2"/>
        <v>8084.9532037437002</v>
      </c>
      <c r="DD9" s="2">
        <f t="shared" si="3"/>
        <v>0</v>
      </c>
      <c r="DE9" s="2">
        <f t="shared" si="4"/>
        <v>0</v>
      </c>
      <c r="DF9" s="2">
        <f t="shared" si="5"/>
        <v>3.5997120230381601</v>
      </c>
      <c r="DG9" s="2">
        <f t="shared" si="6"/>
        <v>8095.7523398128151</v>
      </c>
    </row>
    <row r="10" spans="1:111" x14ac:dyDescent="0.35">
      <c r="A10">
        <v>2012</v>
      </c>
      <c r="B10">
        <v>22</v>
      </c>
      <c r="C10">
        <v>109</v>
      </c>
      <c r="D10" s="1">
        <v>41149</v>
      </c>
      <c r="E10">
        <v>41.777833333333298</v>
      </c>
      <c r="F10">
        <v>-82.778666666666695</v>
      </c>
      <c r="G10">
        <v>41.77</v>
      </c>
      <c r="H10">
        <v>-82.776169999999993</v>
      </c>
      <c r="I10">
        <v>2.2000000000000002</v>
      </c>
      <c r="J10">
        <v>2.1</v>
      </c>
      <c r="K10">
        <v>0.4</v>
      </c>
      <c r="L10">
        <v>3</v>
      </c>
      <c r="M10">
        <v>8.4</v>
      </c>
      <c r="N10">
        <v>24.3</v>
      </c>
      <c r="O10">
        <v>8.0299999999999994</v>
      </c>
      <c r="P10">
        <v>24.1</v>
      </c>
      <c r="Q10">
        <v>5.44</v>
      </c>
      <c r="R10">
        <v>8.4</v>
      </c>
      <c r="S10">
        <v>24.1</v>
      </c>
      <c r="T10">
        <v>5.44</v>
      </c>
      <c r="U10">
        <v>8.5</v>
      </c>
      <c r="V10">
        <v>24.2</v>
      </c>
      <c r="W10">
        <v>8.64</v>
      </c>
      <c r="X10">
        <v>24</v>
      </c>
      <c r="Y10">
        <v>8.0399999999999991</v>
      </c>
      <c r="Z10">
        <v>24</v>
      </c>
      <c r="AA10">
        <v>8.0399999999999991</v>
      </c>
      <c r="AB10">
        <v>0.22223999999999999</v>
      </c>
      <c r="AC10">
        <v>8</v>
      </c>
      <c r="AD10">
        <v>28</v>
      </c>
      <c r="AE10" t="s">
        <v>104</v>
      </c>
      <c r="AF10" s="2">
        <v>0</v>
      </c>
      <c r="AG10" s="2">
        <v>0</v>
      </c>
      <c r="AH10" s="2">
        <v>8.9992800575953904</v>
      </c>
      <c r="AI10" s="2">
        <v>215.98272138228899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13755.3995680346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40.496760259179297</v>
      </c>
      <c r="BS10" s="2">
        <v>2654.7876169906399</v>
      </c>
      <c r="BT10" s="2">
        <v>35.997120230381597</v>
      </c>
      <c r="BU10" s="2">
        <v>35.997120230381597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134.98920086393099</v>
      </c>
      <c r="CN10" s="2">
        <v>13.498920086393101</v>
      </c>
      <c r="CO10" s="2">
        <v>8.9992800575953904</v>
      </c>
      <c r="CP10" s="2">
        <v>4.4996400287976996</v>
      </c>
      <c r="CQ10" s="2">
        <v>0</v>
      </c>
      <c r="CR10" s="2">
        <v>0</v>
      </c>
      <c r="CS10" s="2">
        <v>0</v>
      </c>
      <c r="CT10" s="2">
        <v>0</v>
      </c>
      <c r="CU10" s="2">
        <v>8.9992800575953904</v>
      </c>
      <c r="CV10" s="2">
        <v>0</v>
      </c>
      <c r="CW10" s="2">
        <v>0</v>
      </c>
      <c r="CX10" s="2">
        <v>13.498920086393101</v>
      </c>
      <c r="CY10" s="2">
        <v>0</v>
      </c>
      <c r="CZ10" s="2">
        <v>16932.1454283657</v>
      </c>
      <c r="DA10" s="2">
        <f t="shared" si="0"/>
        <v>8.9992800575953904</v>
      </c>
      <c r="DB10" s="2">
        <f t="shared" si="1"/>
        <v>215.98272138228899</v>
      </c>
      <c r="DC10" s="2">
        <f t="shared" si="2"/>
        <v>13755.3995680346</v>
      </c>
      <c r="DD10" s="2">
        <f t="shared" si="3"/>
        <v>0</v>
      </c>
      <c r="DE10" s="2">
        <f t="shared" si="4"/>
        <v>49.496040316774689</v>
      </c>
      <c r="DF10" s="2">
        <f t="shared" si="5"/>
        <v>2834.7732181425481</v>
      </c>
      <c r="DG10" s="2">
        <f t="shared" si="6"/>
        <v>16864.650827933809</v>
      </c>
    </row>
    <row r="11" spans="1:111" x14ac:dyDescent="0.35">
      <c r="A11">
        <v>2012</v>
      </c>
      <c r="B11">
        <v>22</v>
      </c>
      <c r="C11">
        <v>110</v>
      </c>
      <c r="D11" s="1">
        <v>41149</v>
      </c>
      <c r="E11">
        <v>41.777999999999999</v>
      </c>
      <c r="F11">
        <v>-82.780500000000004</v>
      </c>
      <c r="G11">
        <v>41.77</v>
      </c>
      <c r="H11">
        <v>-82.778329999999997</v>
      </c>
      <c r="I11">
        <v>2.2000000000000002</v>
      </c>
      <c r="J11">
        <v>2.1</v>
      </c>
      <c r="K11">
        <v>0.5</v>
      </c>
      <c r="L11">
        <v>3</v>
      </c>
      <c r="M11">
        <v>5</v>
      </c>
      <c r="N11">
        <v>24.3</v>
      </c>
      <c r="O11">
        <v>8.0299999999999994</v>
      </c>
      <c r="P11">
        <v>24.1</v>
      </c>
      <c r="Q11">
        <v>5.44</v>
      </c>
      <c r="R11">
        <v>8.3000000000000007</v>
      </c>
      <c r="S11">
        <v>24.2</v>
      </c>
      <c r="T11">
        <v>8</v>
      </c>
      <c r="U11">
        <v>8.4</v>
      </c>
      <c r="V11">
        <v>24.1</v>
      </c>
      <c r="W11">
        <v>8.64</v>
      </c>
      <c r="X11">
        <v>24</v>
      </c>
      <c r="Y11">
        <v>8.0399999999999991</v>
      </c>
      <c r="Z11">
        <v>24</v>
      </c>
      <c r="AA11">
        <v>8.52</v>
      </c>
      <c r="AB11">
        <v>0.27779999999999999</v>
      </c>
      <c r="AC11">
        <v>8</v>
      </c>
      <c r="AD11">
        <v>28</v>
      </c>
      <c r="AE11" t="s">
        <v>105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17228.221742260601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17228.221742260601</v>
      </c>
      <c r="DA11" s="2">
        <f t="shared" si="0"/>
        <v>0</v>
      </c>
      <c r="DB11" s="2">
        <f t="shared" si="1"/>
        <v>0</v>
      </c>
      <c r="DC11" s="2">
        <f t="shared" si="2"/>
        <v>17228.221742260601</v>
      </c>
      <c r="DD11" s="2">
        <f t="shared" si="3"/>
        <v>0</v>
      </c>
      <c r="DE11" s="2">
        <f t="shared" si="4"/>
        <v>0</v>
      </c>
      <c r="DF11" s="2">
        <f t="shared" si="5"/>
        <v>0</v>
      </c>
      <c r="DG11" s="2">
        <f t="shared" si="6"/>
        <v>17228.221742260601</v>
      </c>
    </row>
    <row r="12" spans="1:111" x14ac:dyDescent="0.35">
      <c r="A12">
        <v>2012</v>
      </c>
      <c r="B12">
        <v>8</v>
      </c>
      <c r="C12">
        <v>111</v>
      </c>
      <c r="D12" s="1">
        <v>41150</v>
      </c>
      <c r="E12">
        <v>41.885166666666699</v>
      </c>
      <c r="F12">
        <v>-82.881166666666701</v>
      </c>
      <c r="G12">
        <v>41.880330000000001</v>
      </c>
      <c r="H12">
        <v>-82.889669999999995</v>
      </c>
      <c r="I12">
        <v>1.8</v>
      </c>
      <c r="J12">
        <v>1.9</v>
      </c>
      <c r="K12">
        <v>0.4</v>
      </c>
      <c r="L12">
        <v>3</v>
      </c>
      <c r="M12">
        <v>11</v>
      </c>
      <c r="N12">
        <v>23.7</v>
      </c>
      <c r="O12">
        <v>8.24</v>
      </c>
      <c r="P12">
        <v>24</v>
      </c>
      <c r="Q12">
        <v>8.18</v>
      </c>
      <c r="R12">
        <v>11</v>
      </c>
      <c r="S12">
        <v>24</v>
      </c>
      <c r="T12">
        <v>8.18</v>
      </c>
      <c r="U12">
        <v>10.199999999999999</v>
      </c>
      <c r="V12">
        <v>24.4</v>
      </c>
      <c r="W12">
        <v>8.56</v>
      </c>
      <c r="X12">
        <v>23.8</v>
      </c>
      <c r="Y12">
        <v>3.31</v>
      </c>
      <c r="Z12">
        <v>23.8</v>
      </c>
      <c r="AA12">
        <v>3.31</v>
      </c>
      <c r="AB12">
        <v>0.22223999999999999</v>
      </c>
      <c r="AC12">
        <v>8</v>
      </c>
      <c r="AD12">
        <v>29</v>
      </c>
      <c r="AE12" t="s">
        <v>104</v>
      </c>
      <c r="AF12" s="2">
        <v>0</v>
      </c>
      <c r="AG12" s="2">
        <v>0</v>
      </c>
      <c r="AH12" s="2">
        <v>0</v>
      </c>
      <c r="AI12" s="2">
        <v>170.98632109431199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4.4996400287976996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31.497480201583901</v>
      </c>
      <c r="BC12" s="2">
        <v>6362.4910007199396</v>
      </c>
      <c r="BD12" s="2">
        <v>0</v>
      </c>
      <c r="BE12" s="2">
        <v>4.4996400287976996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94.492440604751593</v>
      </c>
      <c r="BS12" s="2">
        <v>8688.8048956083494</v>
      </c>
      <c r="BT12" s="2">
        <v>206.98344132469401</v>
      </c>
      <c r="BU12" s="2">
        <v>116.99064074874001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449.96400287977002</v>
      </c>
      <c r="CN12" s="2">
        <v>184.485241180706</v>
      </c>
      <c r="CO12" s="2">
        <v>22.498200143988502</v>
      </c>
      <c r="CP12" s="2">
        <v>4.4996400287976996</v>
      </c>
      <c r="CQ12" s="2">
        <v>0</v>
      </c>
      <c r="CR12" s="2">
        <v>0</v>
      </c>
      <c r="CS12" s="2">
        <v>0</v>
      </c>
      <c r="CT12" s="2">
        <v>0</v>
      </c>
      <c r="CU12" s="2">
        <v>8.9992800575953904</v>
      </c>
      <c r="CV12" s="2">
        <v>0</v>
      </c>
      <c r="CW12" s="2">
        <v>0</v>
      </c>
      <c r="CX12" s="2">
        <v>13.498920086393101</v>
      </c>
      <c r="CY12" s="2">
        <v>0</v>
      </c>
      <c r="CZ12" s="2">
        <v>16365.1907847372</v>
      </c>
      <c r="DA12" s="2">
        <f t="shared" si="0"/>
        <v>0</v>
      </c>
      <c r="DB12" s="2">
        <f t="shared" si="1"/>
        <v>170.98632109431199</v>
      </c>
      <c r="DC12" s="2">
        <f t="shared" si="2"/>
        <v>6362.4910007199396</v>
      </c>
      <c r="DD12" s="2">
        <f t="shared" si="3"/>
        <v>4.4996400287976996</v>
      </c>
      <c r="DE12" s="2">
        <f t="shared" si="4"/>
        <v>134.98920086393088</v>
      </c>
      <c r="DF12" s="2">
        <f t="shared" si="5"/>
        <v>9278.2577393808479</v>
      </c>
      <c r="DG12" s="2">
        <f t="shared" si="6"/>
        <v>15951.223902087828</v>
      </c>
    </row>
    <row r="13" spans="1:111" x14ac:dyDescent="0.35">
      <c r="A13">
        <v>2012</v>
      </c>
      <c r="B13">
        <v>8</v>
      </c>
      <c r="C13">
        <v>112</v>
      </c>
      <c r="D13" s="1">
        <v>41150</v>
      </c>
      <c r="E13">
        <v>41.888833333333302</v>
      </c>
      <c r="F13">
        <v>-82.878666666666703</v>
      </c>
      <c r="G13">
        <v>41.884</v>
      </c>
      <c r="H13">
        <v>-82.88767</v>
      </c>
      <c r="I13">
        <v>1.8</v>
      </c>
      <c r="J13">
        <v>1.9</v>
      </c>
      <c r="K13">
        <v>0.4</v>
      </c>
      <c r="L13">
        <v>3</v>
      </c>
      <c r="M13">
        <v>8</v>
      </c>
      <c r="N13">
        <v>23.7</v>
      </c>
      <c r="O13">
        <v>8.24</v>
      </c>
      <c r="P13">
        <v>23.7</v>
      </c>
      <c r="Q13">
        <v>8.18</v>
      </c>
      <c r="R13">
        <v>10.6</v>
      </c>
      <c r="S13">
        <v>23.7</v>
      </c>
      <c r="T13">
        <v>8.23</v>
      </c>
      <c r="U13">
        <v>10.199999999999999</v>
      </c>
      <c r="V13">
        <v>24.4</v>
      </c>
      <c r="W13">
        <v>8.56</v>
      </c>
      <c r="X13">
        <v>23.8</v>
      </c>
      <c r="Y13">
        <v>3.31</v>
      </c>
      <c r="Z13">
        <v>23.9</v>
      </c>
      <c r="AA13">
        <v>8.26</v>
      </c>
      <c r="AB13">
        <v>0.22223999999999999</v>
      </c>
      <c r="AC13">
        <v>8</v>
      </c>
      <c r="AD13">
        <v>29</v>
      </c>
      <c r="AE13" t="s">
        <v>106</v>
      </c>
      <c r="AF13" s="2">
        <v>0</v>
      </c>
      <c r="AG13" s="2">
        <v>0</v>
      </c>
      <c r="AH13" s="2">
        <v>0</v>
      </c>
      <c r="AI13" s="2">
        <v>8.9992800575953904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6483.9812814974803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4.4996400287976996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6497.4802015838704</v>
      </c>
      <c r="DA13" s="2">
        <f t="shared" si="0"/>
        <v>0</v>
      </c>
      <c r="DB13" s="2">
        <f t="shared" si="1"/>
        <v>8.9992800575953904</v>
      </c>
      <c r="DC13" s="2">
        <f t="shared" si="2"/>
        <v>6483.9812814974803</v>
      </c>
      <c r="DD13" s="2">
        <f t="shared" si="3"/>
        <v>0</v>
      </c>
      <c r="DE13" s="2">
        <f t="shared" si="4"/>
        <v>0</v>
      </c>
      <c r="DF13" s="2">
        <f t="shared" si="5"/>
        <v>4.4996400287976996</v>
      </c>
      <c r="DG13" s="2">
        <f t="shared" si="6"/>
        <v>6497.4802015838732</v>
      </c>
    </row>
    <row r="14" spans="1:111" x14ac:dyDescent="0.35">
      <c r="A14">
        <v>2012</v>
      </c>
      <c r="B14">
        <v>8</v>
      </c>
      <c r="C14">
        <v>113</v>
      </c>
      <c r="D14" s="1">
        <v>41150</v>
      </c>
      <c r="E14">
        <v>41.889000000000003</v>
      </c>
      <c r="F14">
        <v>-82.882166666666706</v>
      </c>
      <c r="G14">
        <v>41.884830000000001</v>
      </c>
      <c r="H14">
        <v>-82.891499999999994</v>
      </c>
      <c r="I14">
        <v>1.8</v>
      </c>
      <c r="J14">
        <v>1.9</v>
      </c>
      <c r="K14">
        <v>0.4</v>
      </c>
      <c r="L14">
        <v>3</v>
      </c>
      <c r="M14">
        <v>5</v>
      </c>
      <c r="N14">
        <v>23.7</v>
      </c>
      <c r="O14">
        <v>8.24</v>
      </c>
      <c r="P14">
        <v>23.7</v>
      </c>
      <c r="Q14">
        <v>8.18</v>
      </c>
      <c r="R14">
        <v>10.6</v>
      </c>
      <c r="S14">
        <v>23.7</v>
      </c>
      <c r="T14">
        <v>8.24</v>
      </c>
      <c r="U14">
        <v>10.199999999999999</v>
      </c>
      <c r="V14">
        <v>24.4</v>
      </c>
      <c r="W14">
        <v>8.56</v>
      </c>
      <c r="X14">
        <v>23.8</v>
      </c>
      <c r="Y14">
        <v>3.31</v>
      </c>
      <c r="Z14">
        <v>24</v>
      </c>
      <c r="AA14">
        <v>8.2799999999999994</v>
      </c>
      <c r="AB14">
        <v>0.22223999999999999</v>
      </c>
      <c r="AC14">
        <v>8</v>
      </c>
      <c r="AD14">
        <v>29</v>
      </c>
      <c r="AE14" t="s">
        <v>105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2614.2908567314598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2614.2908567314598</v>
      </c>
      <c r="DA14" s="2">
        <f t="shared" si="0"/>
        <v>0</v>
      </c>
      <c r="DB14" s="2">
        <f t="shared" si="1"/>
        <v>0</v>
      </c>
      <c r="DC14" s="2">
        <f t="shared" si="2"/>
        <v>2614.2908567314598</v>
      </c>
      <c r="DD14" s="2">
        <f t="shared" si="3"/>
        <v>0</v>
      </c>
      <c r="DE14" s="2">
        <f t="shared" si="4"/>
        <v>0</v>
      </c>
      <c r="DF14" s="2">
        <f t="shared" si="5"/>
        <v>0</v>
      </c>
      <c r="DG14" s="2">
        <f t="shared" si="6"/>
        <v>2614.2908567314598</v>
      </c>
    </row>
    <row r="15" spans="1:111" x14ac:dyDescent="0.35">
      <c r="A15">
        <v>2012</v>
      </c>
      <c r="B15">
        <v>24</v>
      </c>
      <c r="C15">
        <v>114</v>
      </c>
      <c r="D15" s="1">
        <v>41150</v>
      </c>
      <c r="E15">
        <v>41.949666666666701</v>
      </c>
      <c r="F15">
        <v>-82.987333333333297</v>
      </c>
      <c r="G15">
        <v>41.9495</v>
      </c>
      <c r="H15">
        <v>-82.998829999999998</v>
      </c>
      <c r="I15">
        <v>2</v>
      </c>
      <c r="J15">
        <v>2.8</v>
      </c>
      <c r="K15">
        <v>0.5</v>
      </c>
      <c r="L15">
        <v>3</v>
      </c>
      <c r="M15">
        <v>8.9</v>
      </c>
      <c r="N15">
        <v>23.8</v>
      </c>
      <c r="O15">
        <v>8.4499999999999993</v>
      </c>
      <c r="P15">
        <v>23.8</v>
      </c>
      <c r="Q15">
        <v>7.67</v>
      </c>
      <c r="R15">
        <v>8.9</v>
      </c>
      <c r="S15">
        <v>23.8</v>
      </c>
      <c r="T15">
        <v>7.67</v>
      </c>
      <c r="U15">
        <v>8.6999999999999993</v>
      </c>
      <c r="V15">
        <v>24.1</v>
      </c>
      <c r="W15">
        <v>8.6199999999999992</v>
      </c>
      <c r="X15">
        <v>23.9</v>
      </c>
      <c r="Y15">
        <v>8.32</v>
      </c>
      <c r="Z15">
        <v>23.9</v>
      </c>
      <c r="AA15">
        <v>8.32</v>
      </c>
      <c r="AB15">
        <v>0.27779999999999999</v>
      </c>
      <c r="AC15">
        <v>8</v>
      </c>
      <c r="AD15">
        <v>29</v>
      </c>
      <c r="AE15" t="s">
        <v>104</v>
      </c>
      <c r="AF15" s="2">
        <v>0</v>
      </c>
      <c r="AG15" s="2">
        <v>0</v>
      </c>
      <c r="AH15" s="2">
        <v>0</v>
      </c>
      <c r="AI15" s="2">
        <v>590.35277177825799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1108.7113030957501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7.1994240460763104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1706.2634989200899</v>
      </c>
      <c r="DA15" s="2">
        <f t="shared" si="0"/>
        <v>0</v>
      </c>
      <c r="DB15" s="2">
        <f t="shared" si="1"/>
        <v>590.35277177825799</v>
      </c>
      <c r="DC15" s="2">
        <f t="shared" si="2"/>
        <v>1108.7113030957501</v>
      </c>
      <c r="DD15" s="2">
        <f t="shared" si="3"/>
        <v>0</v>
      </c>
      <c r="DE15" s="2">
        <f t="shared" si="4"/>
        <v>0</v>
      </c>
      <c r="DF15" s="2">
        <f t="shared" si="5"/>
        <v>7.1994240460763104</v>
      </c>
      <c r="DG15" s="2">
        <f t="shared" si="6"/>
        <v>1706.2634989200842</v>
      </c>
    </row>
    <row r="16" spans="1:111" x14ac:dyDescent="0.35">
      <c r="A16">
        <v>2012</v>
      </c>
      <c r="B16">
        <v>24</v>
      </c>
      <c r="C16">
        <v>115</v>
      </c>
      <c r="D16" s="1">
        <v>41150</v>
      </c>
      <c r="E16">
        <v>41.9508333333333</v>
      </c>
      <c r="F16">
        <v>-82.986999999999995</v>
      </c>
      <c r="G16">
        <v>41.952170000000002</v>
      </c>
      <c r="H16">
        <v>-82.998000000000005</v>
      </c>
      <c r="I16">
        <v>2</v>
      </c>
      <c r="J16">
        <v>2.8</v>
      </c>
      <c r="K16">
        <v>0.5</v>
      </c>
      <c r="L16">
        <v>3</v>
      </c>
      <c r="M16">
        <v>6</v>
      </c>
      <c r="N16">
        <v>23.8</v>
      </c>
      <c r="O16">
        <v>8.4499999999999993</v>
      </c>
      <c r="P16">
        <v>23.8</v>
      </c>
      <c r="Q16">
        <v>7.67</v>
      </c>
      <c r="R16">
        <v>8.6999999999999993</v>
      </c>
      <c r="S16">
        <v>23.8</v>
      </c>
      <c r="T16">
        <v>8.4499999999999993</v>
      </c>
      <c r="U16">
        <v>8.6999999999999993</v>
      </c>
      <c r="V16">
        <v>24.1</v>
      </c>
      <c r="W16">
        <v>8.6199999999999992</v>
      </c>
      <c r="X16">
        <v>23.9</v>
      </c>
      <c r="Y16">
        <v>8.32</v>
      </c>
      <c r="Z16">
        <v>23.9</v>
      </c>
      <c r="AA16">
        <v>8.57</v>
      </c>
      <c r="AB16">
        <v>0.27779999999999999</v>
      </c>
      <c r="AC16">
        <v>8</v>
      </c>
      <c r="AD16">
        <v>29</v>
      </c>
      <c r="AE16" t="s">
        <v>106</v>
      </c>
      <c r="AF16" s="2">
        <v>0</v>
      </c>
      <c r="AG16" s="2">
        <v>0</v>
      </c>
      <c r="AH16" s="2">
        <v>0</v>
      </c>
      <c r="AI16" s="2">
        <v>97.192224622030196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3120.9503239740802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3218.1425485961099</v>
      </c>
      <c r="DA16" s="2">
        <f t="shared" si="0"/>
        <v>0</v>
      </c>
      <c r="DB16" s="2">
        <f t="shared" si="1"/>
        <v>97.192224622030196</v>
      </c>
      <c r="DC16" s="2">
        <f t="shared" si="2"/>
        <v>3120.9503239740802</v>
      </c>
      <c r="DD16" s="2">
        <f t="shared" si="3"/>
        <v>0</v>
      </c>
      <c r="DE16" s="2">
        <f t="shared" si="4"/>
        <v>0</v>
      </c>
      <c r="DF16" s="2">
        <f t="shared" si="5"/>
        <v>0</v>
      </c>
      <c r="DG16" s="2">
        <f t="shared" si="6"/>
        <v>3218.1425485961104</v>
      </c>
    </row>
    <row r="17" spans="1:111" x14ac:dyDescent="0.35">
      <c r="A17">
        <v>2012</v>
      </c>
      <c r="B17">
        <v>24</v>
      </c>
      <c r="C17">
        <v>116</v>
      </c>
      <c r="D17" s="1">
        <v>41150</v>
      </c>
      <c r="E17">
        <v>41.9508333333333</v>
      </c>
      <c r="F17">
        <v>-82.985833333333304</v>
      </c>
      <c r="G17">
        <v>41.952669999999998</v>
      </c>
      <c r="H17">
        <v>-82.996669999999995</v>
      </c>
      <c r="I17">
        <v>2</v>
      </c>
      <c r="J17">
        <v>2.8</v>
      </c>
      <c r="K17">
        <v>0.5</v>
      </c>
      <c r="L17">
        <v>3</v>
      </c>
      <c r="M17">
        <v>3</v>
      </c>
      <c r="N17">
        <v>23.8</v>
      </c>
      <c r="O17">
        <v>8.4499999999999993</v>
      </c>
      <c r="P17">
        <v>23.8</v>
      </c>
      <c r="Q17">
        <v>7.67</v>
      </c>
      <c r="R17">
        <v>8.8000000000000007</v>
      </c>
      <c r="S17">
        <v>23.8</v>
      </c>
      <c r="T17">
        <v>8.48</v>
      </c>
      <c r="U17">
        <v>8</v>
      </c>
      <c r="V17">
        <v>24.1</v>
      </c>
      <c r="W17">
        <v>8.6199999999999992</v>
      </c>
      <c r="X17">
        <v>23.9</v>
      </c>
      <c r="Y17">
        <v>8.32</v>
      </c>
      <c r="Z17">
        <v>24</v>
      </c>
      <c r="AA17">
        <v>8.6300000000000008</v>
      </c>
      <c r="AB17">
        <v>0.27779999999999999</v>
      </c>
      <c r="AC17">
        <v>8</v>
      </c>
      <c r="AD17">
        <v>29</v>
      </c>
      <c r="AE17" t="s">
        <v>105</v>
      </c>
      <c r="AF17" s="2">
        <v>0</v>
      </c>
      <c r="AG17" s="2">
        <v>0</v>
      </c>
      <c r="AH17" s="2">
        <v>0</v>
      </c>
      <c r="AI17" s="2">
        <v>7.1994240460763104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1616.2706983441301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7.1994240460763104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1630.6695464362899</v>
      </c>
      <c r="DA17" s="2">
        <f t="shared" si="0"/>
        <v>0</v>
      </c>
      <c r="DB17" s="2">
        <f t="shared" si="1"/>
        <v>7.1994240460763104</v>
      </c>
      <c r="DC17" s="2">
        <f t="shared" si="2"/>
        <v>1616.2706983441301</v>
      </c>
      <c r="DD17" s="2">
        <f t="shared" si="3"/>
        <v>0</v>
      </c>
      <c r="DE17" s="2">
        <f t="shared" si="4"/>
        <v>0</v>
      </c>
      <c r="DF17" s="2">
        <f t="shared" si="5"/>
        <v>0</v>
      </c>
      <c r="DG17" s="2">
        <f t="shared" si="6"/>
        <v>1623.4701223902064</v>
      </c>
    </row>
    <row r="18" spans="1:111" x14ac:dyDescent="0.35">
      <c r="A18">
        <v>2012</v>
      </c>
      <c r="B18">
        <v>1</v>
      </c>
      <c r="C18">
        <v>117</v>
      </c>
      <c r="D18" s="1">
        <v>41150</v>
      </c>
      <c r="E18">
        <v>42.001833333333302</v>
      </c>
      <c r="F18">
        <v>-83.060833333333306</v>
      </c>
      <c r="G18">
        <v>42.006999999999998</v>
      </c>
      <c r="H18">
        <v>-83.069000000000003</v>
      </c>
      <c r="I18">
        <v>1.9</v>
      </c>
      <c r="J18">
        <v>2</v>
      </c>
      <c r="K18">
        <v>0.4</v>
      </c>
      <c r="L18">
        <v>3</v>
      </c>
      <c r="M18">
        <v>6.1</v>
      </c>
      <c r="N18">
        <v>24.7</v>
      </c>
      <c r="O18">
        <v>8.6999999999999993</v>
      </c>
      <c r="P18">
        <v>24.3</v>
      </c>
      <c r="Q18">
        <v>8.5500000000000007</v>
      </c>
      <c r="R18">
        <v>6</v>
      </c>
      <c r="S18">
        <v>24.3</v>
      </c>
      <c r="T18">
        <v>8.5500000000000007</v>
      </c>
      <c r="U18">
        <v>5.7</v>
      </c>
      <c r="V18">
        <v>24.6</v>
      </c>
      <c r="W18">
        <v>8.7200000000000006</v>
      </c>
      <c r="X18">
        <v>23.9</v>
      </c>
      <c r="Y18">
        <v>8.24</v>
      </c>
      <c r="Z18">
        <v>23.9</v>
      </c>
      <c r="AA18">
        <v>8.24</v>
      </c>
      <c r="AB18">
        <v>0.22223999999999999</v>
      </c>
      <c r="AC18">
        <v>8</v>
      </c>
      <c r="AD18">
        <v>29</v>
      </c>
      <c r="AE18" t="s">
        <v>104</v>
      </c>
      <c r="AF18" s="2">
        <v>0</v>
      </c>
      <c r="AG18" s="2">
        <v>0</v>
      </c>
      <c r="AH18" s="2">
        <v>0</v>
      </c>
      <c r="AI18" s="2">
        <v>157.487401007919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6758.4593232541401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17.998560115190799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13.498920086393101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283.47732181425499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7230.9215262778998</v>
      </c>
      <c r="DA18" s="2">
        <f t="shared" si="0"/>
        <v>0</v>
      </c>
      <c r="DB18" s="2">
        <f t="shared" si="1"/>
        <v>157.487401007919</v>
      </c>
      <c r="DC18" s="2">
        <f t="shared" si="2"/>
        <v>6758.4593232541401</v>
      </c>
      <c r="DD18" s="2">
        <f t="shared" si="3"/>
        <v>0</v>
      </c>
      <c r="DE18" s="2">
        <f t="shared" si="4"/>
        <v>0</v>
      </c>
      <c r="DF18" s="2">
        <f t="shared" si="5"/>
        <v>17.998560115190799</v>
      </c>
      <c r="DG18" s="2">
        <f t="shared" si="6"/>
        <v>6933.9452843772506</v>
      </c>
    </row>
    <row r="19" spans="1:111" x14ac:dyDescent="0.35">
      <c r="A19">
        <v>2012</v>
      </c>
      <c r="B19">
        <v>1</v>
      </c>
      <c r="C19">
        <v>118</v>
      </c>
      <c r="D19" s="1">
        <v>41150</v>
      </c>
      <c r="E19">
        <v>42.002333333333297</v>
      </c>
      <c r="F19">
        <v>-83.061833333333297</v>
      </c>
      <c r="G19">
        <v>42.007669999999997</v>
      </c>
      <c r="H19">
        <v>-83.070170000000005</v>
      </c>
      <c r="I19">
        <v>1.9</v>
      </c>
      <c r="J19">
        <v>2</v>
      </c>
      <c r="K19">
        <v>0.4</v>
      </c>
      <c r="L19">
        <v>3</v>
      </c>
      <c r="M19">
        <v>3</v>
      </c>
      <c r="N19">
        <v>24.7</v>
      </c>
      <c r="O19">
        <v>8.6999999999999993</v>
      </c>
      <c r="P19">
        <v>24.3</v>
      </c>
      <c r="Q19">
        <v>8.5500000000000007</v>
      </c>
      <c r="R19">
        <v>6</v>
      </c>
      <c r="S19">
        <v>24.4</v>
      </c>
      <c r="T19">
        <v>8.9</v>
      </c>
      <c r="U19">
        <v>5.6</v>
      </c>
      <c r="V19">
        <v>24.6</v>
      </c>
      <c r="W19">
        <v>8.7200000000000006</v>
      </c>
      <c r="X19">
        <v>23.9</v>
      </c>
      <c r="Y19">
        <v>8.24</v>
      </c>
      <c r="Z19">
        <v>24</v>
      </c>
      <c r="AA19">
        <v>8.49</v>
      </c>
      <c r="AB19">
        <v>0.22223999999999999</v>
      </c>
      <c r="AC19">
        <v>8</v>
      </c>
      <c r="AD19">
        <v>29</v>
      </c>
      <c r="AE19" t="s">
        <v>105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11361.5910727142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4.4996400287976996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467.96256299496002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11834.053275737901</v>
      </c>
      <c r="DA19" s="2">
        <f t="shared" si="0"/>
        <v>0</v>
      </c>
      <c r="DB19" s="2">
        <f t="shared" si="1"/>
        <v>0</v>
      </c>
      <c r="DC19" s="2">
        <f t="shared" si="2"/>
        <v>11361.5910727142</v>
      </c>
      <c r="DD19" s="2">
        <f t="shared" si="3"/>
        <v>0</v>
      </c>
      <c r="DE19" s="2">
        <f t="shared" si="4"/>
        <v>0</v>
      </c>
      <c r="DF19" s="2">
        <f t="shared" si="5"/>
        <v>4.4996400287976996</v>
      </c>
      <c r="DG19" s="2">
        <f t="shared" si="6"/>
        <v>11366.090712742998</v>
      </c>
    </row>
    <row r="20" spans="1:111" x14ac:dyDescent="0.35">
      <c r="A20">
        <v>2013</v>
      </c>
      <c r="B20">
        <v>12</v>
      </c>
      <c r="C20">
        <v>101</v>
      </c>
      <c r="D20" s="1">
        <v>41513</v>
      </c>
      <c r="E20">
        <v>41.947166666666703</v>
      </c>
      <c r="F20">
        <v>-82.689333333333295</v>
      </c>
      <c r="G20">
        <v>41.943669999999997</v>
      </c>
      <c r="H20">
        <v>-82.679329999999993</v>
      </c>
      <c r="I20">
        <v>2.1</v>
      </c>
      <c r="K20">
        <v>0.52</v>
      </c>
      <c r="L20">
        <v>3</v>
      </c>
      <c r="M20">
        <v>2</v>
      </c>
      <c r="N20">
        <v>23.6</v>
      </c>
      <c r="O20">
        <v>8.7799999999999994</v>
      </c>
      <c r="P20">
        <v>23.6</v>
      </c>
      <c r="Q20">
        <v>8.36</v>
      </c>
      <c r="R20">
        <v>10.8</v>
      </c>
      <c r="S20">
        <v>23.6</v>
      </c>
      <c r="T20">
        <v>8.4</v>
      </c>
      <c r="U20">
        <v>10.8</v>
      </c>
      <c r="V20">
        <v>23.6</v>
      </c>
      <c r="W20">
        <v>9.08</v>
      </c>
      <c r="X20">
        <v>23.6</v>
      </c>
      <c r="Y20">
        <v>8.73</v>
      </c>
      <c r="Z20">
        <v>23.6</v>
      </c>
      <c r="AA20">
        <v>8.9</v>
      </c>
      <c r="AB20">
        <v>0.288912</v>
      </c>
      <c r="AC20">
        <v>8</v>
      </c>
      <c r="AD20">
        <v>27</v>
      </c>
      <c r="AE20" t="s">
        <v>105</v>
      </c>
      <c r="AF20" s="2">
        <v>0</v>
      </c>
      <c r="AG20" s="2">
        <v>0</v>
      </c>
      <c r="AH20" s="2">
        <v>3.4612615606136101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1554.10644071551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1557.5677022761299</v>
      </c>
      <c r="DA20" s="2">
        <f t="shared" si="0"/>
        <v>3.4612615606136101</v>
      </c>
      <c r="DB20" s="2">
        <f t="shared" si="1"/>
        <v>0</v>
      </c>
      <c r="DC20" s="2">
        <f t="shared" si="2"/>
        <v>1554.10644071551</v>
      </c>
      <c r="DD20" s="2">
        <f t="shared" si="3"/>
        <v>0</v>
      </c>
      <c r="DE20" s="2">
        <f t="shared" si="4"/>
        <v>0</v>
      </c>
      <c r="DF20" s="2">
        <f t="shared" si="5"/>
        <v>0</v>
      </c>
      <c r="DG20" s="2">
        <f t="shared" si="6"/>
        <v>1557.5677022761236</v>
      </c>
    </row>
    <row r="21" spans="1:111" x14ac:dyDescent="0.35">
      <c r="A21">
        <v>2013</v>
      </c>
      <c r="B21">
        <v>12</v>
      </c>
      <c r="C21">
        <v>102</v>
      </c>
      <c r="D21" s="1">
        <v>41513</v>
      </c>
      <c r="E21">
        <v>41.946666666666701</v>
      </c>
      <c r="F21">
        <v>-82.691333333333304</v>
      </c>
      <c r="G21">
        <v>41.945329999999998</v>
      </c>
      <c r="H21">
        <v>-82.682169999999999</v>
      </c>
      <c r="I21">
        <v>2.1</v>
      </c>
      <c r="K21">
        <v>0.49</v>
      </c>
      <c r="L21">
        <v>3</v>
      </c>
      <c r="M21">
        <v>8</v>
      </c>
      <c r="N21">
        <v>23.6</v>
      </c>
      <c r="O21">
        <v>8.7799999999999994</v>
      </c>
      <c r="P21">
        <v>23.6</v>
      </c>
      <c r="Q21">
        <v>8.36</v>
      </c>
      <c r="R21">
        <v>10.8</v>
      </c>
      <c r="S21">
        <v>23.6</v>
      </c>
      <c r="T21">
        <v>8.3800000000000008</v>
      </c>
      <c r="U21">
        <v>10.8</v>
      </c>
      <c r="V21">
        <v>23.6</v>
      </c>
      <c r="W21">
        <v>9.08</v>
      </c>
      <c r="X21">
        <v>23.6</v>
      </c>
      <c r="Y21">
        <v>8.73</v>
      </c>
      <c r="Z21">
        <v>23.6</v>
      </c>
      <c r="AA21">
        <v>8.84</v>
      </c>
      <c r="AB21">
        <v>0.27224399999999999</v>
      </c>
      <c r="AC21">
        <v>8</v>
      </c>
      <c r="AD21">
        <v>27</v>
      </c>
      <c r="AE21" t="s">
        <v>106</v>
      </c>
      <c r="AF21" s="2">
        <v>0</v>
      </c>
      <c r="AG21" s="2">
        <v>0</v>
      </c>
      <c r="AH21" s="2">
        <v>0</v>
      </c>
      <c r="AI21" s="2">
        <v>3.6731755337124099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1454.5775113501099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1458.25068688382</v>
      </c>
      <c r="DA21" s="2">
        <f t="shared" si="0"/>
        <v>0</v>
      </c>
      <c r="DB21" s="2">
        <f t="shared" si="1"/>
        <v>3.6731755337124099</v>
      </c>
      <c r="DC21" s="2">
        <f t="shared" si="2"/>
        <v>1454.5775113501099</v>
      </c>
      <c r="DD21" s="2">
        <f t="shared" si="3"/>
        <v>0</v>
      </c>
      <c r="DE21" s="2">
        <f t="shared" si="4"/>
        <v>0</v>
      </c>
      <c r="DF21" s="2">
        <f t="shared" si="5"/>
        <v>0</v>
      </c>
      <c r="DG21" s="2">
        <f t="shared" si="6"/>
        <v>1458.2506868838223</v>
      </c>
    </row>
    <row r="22" spans="1:111" x14ac:dyDescent="0.35">
      <c r="A22">
        <v>2013</v>
      </c>
      <c r="B22">
        <v>12</v>
      </c>
      <c r="C22">
        <v>103</v>
      </c>
      <c r="D22" s="1">
        <v>41513</v>
      </c>
      <c r="E22">
        <v>41.948999999999998</v>
      </c>
      <c r="F22">
        <v>-82.6935</v>
      </c>
      <c r="G22">
        <v>41.950670000000002</v>
      </c>
      <c r="H22">
        <v>-82.683499999999995</v>
      </c>
      <c r="I22">
        <v>2.1</v>
      </c>
      <c r="K22">
        <v>0.46</v>
      </c>
      <c r="L22">
        <v>3</v>
      </c>
      <c r="M22">
        <v>10.8</v>
      </c>
      <c r="N22">
        <v>23.6</v>
      </c>
      <c r="O22">
        <v>8.7799999999999994</v>
      </c>
      <c r="P22">
        <v>23.6</v>
      </c>
      <c r="Q22">
        <v>8.36</v>
      </c>
      <c r="R22">
        <v>10.8</v>
      </c>
      <c r="S22">
        <v>23.6</v>
      </c>
      <c r="T22">
        <v>8.36</v>
      </c>
      <c r="U22">
        <v>10.8</v>
      </c>
      <c r="V22">
        <v>23.6</v>
      </c>
      <c r="W22">
        <v>9.08</v>
      </c>
      <c r="X22">
        <v>23.6</v>
      </c>
      <c r="Y22">
        <v>8.73</v>
      </c>
      <c r="Z22">
        <v>23.6</v>
      </c>
      <c r="AA22">
        <v>8.73</v>
      </c>
      <c r="AB22">
        <v>0.25557600000000003</v>
      </c>
      <c r="AC22">
        <v>8</v>
      </c>
      <c r="AD22">
        <v>27</v>
      </c>
      <c r="AE22" t="s">
        <v>104</v>
      </c>
      <c r="AF22" s="2">
        <v>0</v>
      </c>
      <c r="AG22" s="2">
        <v>0</v>
      </c>
      <c r="AH22" s="2">
        <v>0</v>
      </c>
      <c r="AI22" s="2">
        <v>3.91273045982408</v>
      </c>
      <c r="AJ22" s="2">
        <v>0</v>
      </c>
      <c r="AK22" s="2">
        <v>0</v>
      </c>
      <c r="AL22" s="2">
        <v>0</v>
      </c>
      <c r="AM22" s="2">
        <v>3.91273045982408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880.36435346041901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54.778226437537199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66.516417817009398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1009.48445863461</v>
      </c>
      <c r="DA22" s="2">
        <f t="shared" si="0"/>
        <v>0</v>
      </c>
      <c r="DB22" s="2">
        <f t="shared" si="1"/>
        <v>3.91273045982408</v>
      </c>
      <c r="DC22" s="2">
        <f t="shared" si="2"/>
        <v>880.36435346041901</v>
      </c>
      <c r="DD22" s="2">
        <f t="shared" si="3"/>
        <v>0</v>
      </c>
      <c r="DE22" s="2">
        <f t="shared" si="4"/>
        <v>3.91273045982408</v>
      </c>
      <c r="DF22" s="2">
        <f t="shared" si="5"/>
        <v>0</v>
      </c>
      <c r="DG22" s="2">
        <f t="shared" si="6"/>
        <v>888.18981438006711</v>
      </c>
    </row>
    <row r="23" spans="1:111" x14ac:dyDescent="0.35">
      <c r="A23">
        <v>2013</v>
      </c>
      <c r="B23">
        <v>22</v>
      </c>
      <c r="C23">
        <v>104</v>
      </c>
      <c r="D23" s="1">
        <v>41513</v>
      </c>
      <c r="E23">
        <v>41.782499999999999</v>
      </c>
      <c r="F23">
        <v>-82.778333333333293</v>
      </c>
      <c r="G23">
        <v>41.789000000000001</v>
      </c>
      <c r="H23">
        <v>-82.771829999999994</v>
      </c>
      <c r="I23">
        <v>1.5</v>
      </c>
      <c r="J23">
        <v>1.3</v>
      </c>
      <c r="K23">
        <v>0.48</v>
      </c>
      <c r="L23">
        <v>3</v>
      </c>
      <c r="M23">
        <v>5</v>
      </c>
      <c r="N23">
        <v>23.8</v>
      </c>
      <c r="O23">
        <v>8.86</v>
      </c>
      <c r="P23">
        <v>23.6</v>
      </c>
      <c r="Q23">
        <v>7.31</v>
      </c>
      <c r="R23">
        <v>8.8000000000000007</v>
      </c>
      <c r="S23">
        <v>23.8</v>
      </c>
      <c r="T23">
        <v>8.77</v>
      </c>
      <c r="V23">
        <v>23.9</v>
      </c>
      <c r="W23">
        <v>9.52</v>
      </c>
      <c r="X23">
        <v>23.8</v>
      </c>
      <c r="Y23">
        <v>8.8800000000000008</v>
      </c>
      <c r="Z23">
        <v>23.8</v>
      </c>
      <c r="AA23">
        <v>9.23</v>
      </c>
      <c r="AB23">
        <v>0.26668799999999998</v>
      </c>
      <c r="AC23">
        <v>8</v>
      </c>
      <c r="AD23">
        <v>27</v>
      </c>
      <c r="AE23" t="s">
        <v>105</v>
      </c>
      <c r="AF23" s="2">
        <v>0</v>
      </c>
      <c r="AG23" s="2">
        <v>0</v>
      </c>
      <c r="AH23" s="2">
        <v>7.4994000479961596</v>
      </c>
      <c r="AI23" s="2">
        <v>528.70770338372904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15669.996400288001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3.7497000239980798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16209.9532037437</v>
      </c>
      <c r="DA23" s="2">
        <f t="shared" si="0"/>
        <v>7.4994000479961596</v>
      </c>
      <c r="DB23" s="2">
        <f t="shared" si="1"/>
        <v>528.70770338372904</v>
      </c>
      <c r="DC23" s="2">
        <f t="shared" si="2"/>
        <v>15669.996400288001</v>
      </c>
      <c r="DD23" s="2">
        <f t="shared" si="3"/>
        <v>0</v>
      </c>
      <c r="DE23" s="2">
        <f t="shared" si="4"/>
        <v>0</v>
      </c>
      <c r="DF23" s="2">
        <f t="shared" si="5"/>
        <v>3.7497000239980798</v>
      </c>
      <c r="DG23" s="2">
        <f t="shared" si="6"/>
        <v>16209.953203743724</v>
      </c>
    </row>
    <row r="24" spans="1:111" x14ac:dyDescent="0.35">
      <c r="A24">
        <v>2013</v>
      </c>
      <c r="B24">
        <v>22</v>
      </c>
      <c r="C24">
        <v>105</v>
      </c>
      <c r="D24" s="1">
        <v>41513</v>
      </c>
      <c r="E24">
        <v>41.783000000000001</v>
      </c>
      <c r="F24">
        <v>-82.774666666666704</v>
      </c>
      <c r="G24">
        <v>41.787669999999999</v>
      </c>
      <c r="H24">
        <v>-82.766170000000002</v>
      </c>
      <c r="I24">
        <v>1.5</v>
      </c>
      <c r="J24">
        <v>1.3</v>
      </c>
      <c r="K24">
        <v>0.47</v>
      </c>
      <c r="L24">
        <v>3</v>
      </c>
      <c r="M24">
        <v>8.9</v>
      </c>
      <c r="N24">
        <v>23.8</v>
      </c>
      <c r="O24">
        <v>8.86</v>
      </c>
      <c r="P24">
        <v>23.6</v>
      </c>
      <c r="Q24">
        <v>7.31</v>
      </c>
      <c r="R24">
        <v>8.9</v>
      </c>
      <c r="S24">
        <v>23.6</v>
      </c>
      <c r="T24">
        <v>7.31</v>
      </c>
      <c r="U24">
        <v>9.3000000000000007</v>
      </c>
      <c r="V24">
        <v>23.9</v>
      </c>
      <c r="W24">
        <v>9.52</v>
      </c>
      <c r="X24">
        <v>23.8</v>
      </c>
      <c r="Y24">
        <v>8.8800000000000008</v>
      </c>
      <c r="Z24">
        <v>23.8</v>
      </c>
      <c r="AA24">
        <v>8.8800000000000008</v>
      </c>
      <c r="AB24">
        <v>0.26113199999999998</v>
      </c>
      <c r="AC24">
        <v>8</v>
      </c>
      <c r="AD24">
        <v>27</v>
      </c>
      <c r="AE24" t="s">
        <v>104</v>
      </c>
      <c r="AF24" s="2">
        <v>0</v>
      </c>
      <c r="AG24" s="2">
        <v>0</v>
      </c>
      <c r="AH24" s="2">
        <v>15.31792350229</v>
      </c>
      <c r="AI24" s="2">
        <v>233.59833340992299</v>
      </c>
      <c r="AJ24" s="2">
        <v>0</v>
      </c>
      <c r="AK24" s="2">
        <v>0</v>
      </c>
      <c r="AL24" s="2">
        <v>0</v>
      </c>
      <c r="AM24" s="2">
        <v>11.4884426267175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3055.9257387068601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3.8294808755725098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3320.15991912136</v>
      </c>
      <c r="DA24" s="2">
        <f t="shared" si="0"/>
        <v>15.31792350229</v>
      </c>
      <c r="DB24" s="2">
        <f t="shared" si="1"/>
        <v>233.59833340992299</v>
      </c>
      <c r="DC24" s="2">
        <f t="shared" si="2"/>
        <v>3055.9257387068601</v>
      </c>
      <c r="DD24" s="2">
        <f t="shared" si="3"/>
        <v>0</v>
      </c>
      <c r="DE24" s="2">
        <f t="shared" si="4"/>
        <v>11.4884426267175</v>
      </c>
      <c r="DF24" s="2">
        <f t="shared" si="5"/>
        <v>3.8294808755725098</v>
      </c>
      <c r="DG24" s="2">
        <f t="shared" si="6"/>
        <v>3320.1599191213636</v>
      </c>
    </row>
    <row r="25" spans="1:111" x14ac:dyDescent="0.35">
      <c r="A25">
        <v>2013</v>
      </c>
      <c r="B25">
        <v>8</v>
      </c>
      <c r="C25">
        <v>106</v>
      </c>
      <c r="D25" s="1">
        <v>41513</v>
      </c>
      <c r="E25">
        <v>41.825499999999998</v>
      </c>
      <c r="F25">
        <v>-82.894000000000005</v>
      </c>
      <c r="G25">
        <v>41.830829999999999</v>
      </c>
      <c r="H25">
        <v>-82.885999999999996</v>
      </c>
      <c r="I25">
        <v>1.8</v>
      </c>
      <c r="J25">
        <v>2</v>
      </c>
      <c r="K25">
        <v>0.47</v>
      </c>
      <c r="L25">
        <v>3</v>
      </c>
      <c r="M25">
        <v>5</v>
      </c>
      <c r="N25">
        <v>23.7</v>
      </c>
      <c r="O25">
        <v>8.83</v>
      </c>
      <c r="P25">
        <v>23.6</v>
      </c>
      <c r="Q25">
        <v>8.61</v>
      </c>
      <c r="R25">
        <v>10.4</v>
      </c>
      <c r="S25">
        <v>23.6</v>
      </c>
      <c r="T25">
        <v>8.7799999999999994</v>
      </c>
      <c r="U25">
        <v>10.5</v>
      </c>
      <c r="V25">
        <v>23.7</v>
      </c>
      <c r="W25">
        <v>9.25</v>
      </c>
      <c r="X25">
        <v>23.6</v>
      </c>
      <c r="Y25">
        <v>8.7100000000000009</v>
      </c>
      <c r="Z25">
        <v>23.6</v>
      </c>
      <c r="AA25">
        <v>8.9700000000000006</v>
      </c>
      <c r="AB25">
        <v>0.26113199999999998</v>
      </c>
      <c r="AC25">
        <v>8</v>
      </c>
      <c r="AD25">
        <v>27</v>
      </c>
      <c r="AE25" t="s">
        <v>105</v>
      </c>
      <c r="AF25" s="2">
        <v>0</v>
      </c>
      <c r="AG25" s="2">
        <v>0</v>
      </c>
      <c r="AH25" s="2">
        <v>0</v>
      </c>
      <c r="AI25" s="2">
        <v>49.7832513824426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30609.040638451101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30658.8238898335</v>
      </c>
      <c r="DA25" s="2">
        <f t="shared" si="0"/>
        <v>0</v>
      </c>
      <c r="DB25" s="2">
        <f t="shared" si="1"/>
        <v>49.7832513824426</v>
      </c>
      <c r="DC25" s="2">
        <f t="shared" si="2"/>
        <v>30609.040638451101</v>
      </c>
      <c r="DD25" s="2">
        <f t="shared" si="3"/>
        <v>0</v>
      </c>
      <c r="DE25" s="2">
        <f t="shared" si="4"/>
        <v>0</v>
      </c>
      <c r="DF25" s="2">
        <f t="shared" si="5"/>
        <v>0</v>
      </c>
      <c r="DG25" s="2">
        <f t="shared" si="6"/>
        <v>30658.823889833544</v>
      </c>
    </row>
    <row r="26" spans="1:111" x14ac:dyDescent="0.35">
      <c r="A26">
        <v>2013</v>
      </c>
      <c r="B26">
        <v>8</v>
      </c>
      <c r="C26">
        <v>107</v>
      </c>
      <c r="D26" s="1">
        <v>41513</v>
      </c>
      <c r="E26">
        <v>41.825333333333298</v>
      </c>
      <c r="F26">
        <v>-82.894499999999994</v>
      </c>
      <c r="G26">
        <v>41.831330000000001</v>
      </c>
      <c r="H26">
        <v>-82.887330000000006</v>
      </c>
      <c r="I26">
        <v>1.8</v>
      </c>
      <c r="J26">
        <v>2</v>
      </c>
      <c r="K26">
        <v>0.49</v>
      </c>
      <c r="L26">
        <v>3</v>
      </c>
      <c r="M26">
        <v>8</v>
      </c>
      <c r="N26">
        <v>23.7</v>
      </c>
      <c r="O26">
        <v>8.83</v>
      </c>
      <c r="P26">
        <v>23.6</v>
      </c>
      <c r="Q26">
        <v>8.61</v>
      </c>
      <c r="R26">
        <v>10.4</v>
      </c>
      <c r="S26">
        <v>23.6</v>
      </c>
      <c r="T26">
        <v>8.7100000000000009</v>
      </c>
      <c r="U26">
        <v>10.6</v>
      </c>
      <c r="V26">
        <v>23.7</v>
      </c>
      <c r="W26">
        <v>9.25</v>
      </c>
      <c r="X26">
        <v>23.6</v>
      </c>
      <c r="Y26">
        <v>8.7100000000000009</v>
      </c>
      <c r="Z26">
        <v>23.6</v>
      </c>
      <c r="AA26">
        <v>8.8800000000000008</v>
      </c>
      <c r="AB26">
        <v>0.27224399999999999</v>
      </c>
      <c r="AC26">
        <v>8</v>
      </c>
      <c r="AD26">
        <v>27</v>
      </c>
      <c r="AE26" t="s">
        <v>106</v>
      </c>
      <c r="AF26" s="2">
        <v>0</v>
      </c>
      <c r="AG26" s="2">
        <v>0</v>
      </c>
      <c r="AH26" s="2">
        <v>33.058579803411597</v>
      </c>
      <c r="AI26" s="2">
        <v>224.06370755645699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38505.899119907102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38763.021407266999</v>
      </c>
      <c r="DA26" s="2">
        <f t="shared" si="0"/>
        <v>33.058579803411597</v>
      </c>
      <c r="DB26" s="2">
        <f t="shared" si="1"/>
        <v>224.06370755645699</v>
      </c>
      <c r="DC26" s="2">
        <f t="shared" si="2"/>
        <v>38505.899119907102</v>
      </c>
      <c r="DD26" s="2">
        <f t="shared" si="3"/>
        <v>0</v>
      </c>
      <c r="DE26" s="2">
        <f t="shared" si="4"/>
        <v>0</v>
      </c>
      <c r="DF26" s="2">
        <f t="shared" si="5"/>
        <v>0</v>
      </c>
      <c r="DG26" s="2">
        <f t="shared" si="6"/>
        <v>38763.02140726697</v>
      </c>
    </row>
    <row r="27" spans="1:111" x14ac:dyDescent="0.35">
      <c r="A27">
        <v>2013</v>
      </c>
      <c r="B27">
        <v>8</v>
      </c>
      <c r="C27">
        <v>108</v>
      </c>
      <c r="D27" s="1">
        <v>41513</v>
      </c>
      <c r="E27">
        <v>41.825166666666703</v>
      </c>
      <c r="F27">
        <v>-82.893666666666704</v>
      </c>
      <c r="G27">
        <v>41.83117</v>
      </c>
      <c r="H27">
        <v>-82.886669999999995</v>
      </c>
      <c r="I27">
        <v>1.8</v>
      </c>
      <c r="J27">
        <v>2</v>
      </c>
      <c r="K27">
        <v>0.48</v>
      </c>
      <c r="L27">
        <v>3</v>
      </c>
      <c r="M27">
        <v>10.5</v>
      </c>
      <c r="N27">
        <v>23.7</v>
      </c>
      <c r="O27">
        <v>8.83</v>
      </c>
      <c r="P27">
        <v>23.6</v>
      </c>
      <c r="Q27">
        <v>8.61</v>
      </c>
      <c r="R27">
        <v>10.5</v>
      </c>
      <c r="S27">
        <v>23.6</v>
      </c>
      <c r="T27">
        <v>8.64</v>
      </c>
      <c r="U27">
        <v>10.4</v>
      </c>
      <c r="V27">
        <v>23.7</v>
      </c>
      <c r="W27">
        <v>9.25</v>
      </c>
      <c r="X27">
        <v>23.6</v>
      </c>
      <c r="Y27">
        <v>8.67</v>
      </c>
      <c r="Z27">
        <v>23.6</v>
      </c>
      <c r="AA27">
        <v>8.67</v>
      </c>
      <c r="AB27">
        <v>0.26668799999999998</v>
      </c>
      <c r="AC27">
        <v>8</v>
      </c>
      <c r="AD27">
        <v>27</v>
      </c>
      <c r="AE27" t="s">
        <v>104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3.7497000239980798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708.69330453563703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3.7497000239980798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716.19270458363303</v>
      </c>
      <c r="DA27" s="2">
        <f t="shared" si="0"/>
        <v>0</v>
      </c>
      <c r="DB27" s="2">
        <f t="shared" si="1"/>
        <v>0</v>
      </c>
      <c r="DC27" s="2">
        <f t="shared" si="2"/>
        <v>708.69330453563703</v>
      </c>
      <c r="DD27" s="2">
        <f t="shared" si="3"/>
        <v>0</v>
      </c>
      <c r="DE27" s="2">
        <f t="shared" si="4"/>
        <v>3.7497000239980798</v>
      </c>
      <c r="DF27" s="2">
        <f t="shared" si="5"/>
        <v>3.7497000239980798</v>
      </c>
      <c r="DG27" s="2">
        <f t="shared" si="6"/>
        <v>716.19270458363326</v>
      </c>
    </row>
    <row r="28" spans="1:111" x14ac:dyDescent="0.35">
      <c r="A28">
        <v>2013</v>
      </c>
      <c r="B28">
        <v>24</v>
      </c>
      <c r="C28">
        <v>109</v>
      </c>
      <c r="D28" s="1">
        <v>41514</v>
      </c>
      <c r="E28">
        <v>41.9463333333333</v>
      </c>
      <c r="F28">
        <v>-82.983500000000006</v>
      </c>
      <c r="G28">
        <v>41.938499999999998</v>
      </c>
      <c r="H28">
        <v>-82.983999999999995</v>
      </c>
      <c r="I28">
        <v>2.7</v>
      </c>
      <c r="J28">
        <v>2.2999999999999998</v>
      </c>
      <c r="K28">
        <v>0.47</v>
      </c>
      <c r="L28">
        <v>3</v>
      </c>
      <c r="M28">
        <v>5</v>
      </c>
      <c r="N28">
        <v>24.1</v>
      </c>
      <c r="O28">
        <v>8.9600000000000009</v>
      </c>
      <c r="P28">
        <v>23.7</v>
      </c>
      <c r="Q28">
        <v>8.15</v>
      </c>
      <c r="R28">
        <v>9.1999999999999993</v>
      </c>
      <c r="S28">
        <v>23.9</v>
      </c>
      <c r="T28">
        <v>8.43</v>
      </c>
      <c r="U28">
        <v>9.3000000000000007</v>
      </c>
      <c r="V28">
        <v>24</v>
      </c>
      <c r="W28">
        <v>8.82</v>
      </c>
      <c r="X28">
        <v>23.8</v>
      </c>
      <c r="Y28">
        <v>8.41</v>
      </c>
      <c r="Z28">
        <v>24.1</v>
      </c>
      <c r="AA28">
        <v>8.32</v>
      </c>
      <c r="AB28">
        <v>0.26113199999999998</v>
      </c>
      <c r="AC28">
        <v>8</v>
      </c>
      <c r="AD28">
        <v>28</v>
      </c>
      <c r="AE28" t="s">
        <v>105</v>
      </c>
      <c r="AF28" s="2">
        <v>0</v>
      </c>
      <c r="AG28" s="2">
        <v>0</v>
      </c>
      <c r="AH28" s="2">
        <v>61.2716940091601</v>
      </c>
      <c r="AI28" s="2">
        <v>11.4884426267175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17244.152382703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7.6589617511450196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17324.571481089999</v>
      </c>
      <c r="DA28" s="2">
        <f t="shared" si="0"/>
        <v>61.2716940091601</v>
      </c>
      <c r="DB28" s="2">
        <f t="shared" si="1"/>
        <v>11.4884426267175</v>
      </c>
      <c r="DC28" s="2">
        <f t="shared" si="2"/>
        <v>17244.152382703</v>
      </c>
      <c r="DD28" s="2">
        <f t="shared" si="3"/>
        <v>0</v>
      </c>
      <c r="DE28" s="2">
        <f t="shared" si="4"/>
        <v>0</v>
      </c>
      <c r="DF28" s="2">
        <f t="shared" si="5"/>
        <v>0</v>
      </c>
      <c r="DG28" s="2">
        <f t="shared" si="6"/>
        <v>17316.912519338875</v>
      </c>
    </row>
    <row r="29" spans="1:111" x14ac:dyDescent="0.35">
      <c r="A29">
        <v>2013</v>
      </c>
      <c r="B29">
        <v>24</v>
      </c>
      <c r="C29">
        <v>110</v>
      </c>
      <c r="D29" s="1">
        <v>41514</v>
      </c>
      <c r="E29">
        <v>41.9478333333333</v>
      </c>
      <c r="F29">
        <v>-82.981666666666698</v>
      </c>
      <c r="G29">
        <v>41.940330000000003</v>
      </c>
      <c r="H29">
        <v>-82.977329999999995</v>
      </c>
      <c r="I29">
        <v>2.7</v>
      </c>
      <c r="J29">
        <v>2.2999999999999998</v>
      </c>
      <c r="K29">
        <v>0.5</v>
      </c>
      <c r="L29">
        <v>3</v>
      </c>
      <c r="M29">
        <v>6</v>
      </c>
      <c r="N29">
        <v>24.1</v>
      </c>
      <c r="O29">
        <v>8.9600000000000009</v>
      </c>
      <c r="P29">
        <v>23.9</v>
      </c>
      <c r="Q29">
        <v>8.15</v>
      </c>
      <c r="R29">
        <v>9.1</v>
      </c>
      <c r="S29">
        <v>23.9</v>
      </c>
      <c r="T29">
        <v>8.41</v>
      </c>
      <c r="U29">
        <v>9.3000000000000007</v>
      </c>
      <c r="V29">
        <v>24</v>
      </c>
      <c r="W29">
        <v>8.82</v>
      </c>
      <c r="X29">
        <v>23.8</v>
      </c>
      <c r="Y29">
        <v>8.41</v>
      </c>
      <c r="AB29">
        <v>0.27779999999999999</v>
      </c>
      <c r="AC29">
        <v>8</v>
      </c>
      <c r="AD29">
        <v>28</v>
      </c>
      <c r="AE29" t="s">
        <v>106</v>
      </c>
      <c r="AF29" s="2">
        <v>0</v>
      </c>
      <c r="AG29" s="2">
        <v>0</v>
      </c>
      <c r="AH29" s="2">
        <v>21.5982721382289</v>
      </c>
      <c r="AI29" s="2">
        <v>3.5997120230381601</v>
      </c>
      <c r="AJ29" s="2">
        <v>0</v>
      </c>
      <c r="AK29" s="2">
        <v>0</v>
      </c>
      <c r="AL29" s="2">
        <v>0</v>
      </c>
      <c r="AM29" s="2">
        <v>3.5997120230381601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5158.3873290136798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5187.1850251979804</v>
      </c>
      <c r="DA29" s="2">
        <f t="shared" si="0"/>
        <v>21.5982721382289</v>
      </c>
      <c r="DB29" s="2">
        <f t="shared" si="1"/>
        <v>3.5997120230381601</v>
      </c>
      <c r="DC29" s="2">
        <f t="shared" si="2"/>
        <v>5158.3873290136798</v>
      </c>
      <c r="DD29" s="2">
        <f t="shared" si="3"/>
        <v>0</v>
      </c>
      <c r="DE29" s="2">
        <f t="shared" si="4"/>
        <v>3.5997120230381601</v>
      </c>
      <c r="DF29" s="2">
        <f t="shared" si="5"/>
        <v>0</v>
      </c>
      <c r="DG29" s="2">
        <f t="shared" si="6"/>
        <v>5187.1850251979859</v>
      </c>
    </row>
    <row r="30" spans="1:111" x14ac:dyDescent="0.35">
      <c r="A30">
        <v>2013</v>
      </c>
      <c r="B30">
        <v>24</v>
      </c>
      <c r="C30">
        <v>111</v>
      </c>
      <c r="D30" s="1">
        <v>41514</v>
      </c>
      <c r="E30">
        <v>41.946833333333302</v>
      </c>
      <c r="F30">
        <v>-82.984499999999997</v>
      </c>
      <c r="G30">
        <v>41.939169999999997</v>
      </c>
      <c r="H30">
        <v>-82.987170000000006</v>
      </c>
      <c r="I30">
        <v>2.7</v>
      </c>
      <c r="J30">
        <v>2.2999999999999998</v>
      </c>
      <c r="K30">
        <v>0.48</v>
      </c>
      <c r="L30">
        <v>3</v>
      </c>
      <c r="M30">
        <v>9.1</v>
      </c>
      <c r="N30">
        <v>24.1</v>
      </c>
      <c r="O30">
        <v>8.9600000000000009</v>
      </c>
      <c r="P30">
        <v>23.9</v>
      </c>
      <c r="Q30">
        <v>8.15</v>
      </c>
      <c r="R30">
        <v>9.1</v>
      </c>
      <c r="S30">
        <v>23.9</v>
      </c>
      <c r="T30">
        <v>8.15</v>
      </c>
      <c r="U30">
        <v>9.1999999999999993</v>
      </c>
      <c r="V30">
        <v>24</v>
      </c>
      <c r="W30">
        <v>8.82</v>
      </c>
      <c r="X30">
        <v>23.8</v>
      </c>
      <c r="Y30">
        <v>8.41</v>
      </c>
      <c r="Z30">
        <v>23.8</v>
      </c>
      <c r="AA30">
        <v>8.41</v>
      </c>
      <c r="AB30">
        <v>0.26668799999999998</v>
      </c>
      <c r="AC30">
        <v>8</v>
      </c>
      <c r="AD30">
        <v>28</v>
      </c>
      <c r="AE30" t="s">
        <v>104</v>
      </c>
      <c r="AF30" s="2">
        <v>0</v>
      </c>
      <c r="AG30" s="2">
        <v>0</v>
      </c>
      <c r="AH30" s="2">
        <v>378.71970242380598</v>
      </c>
      <c r="AI30" s="2">
        <v>14.9988000959923</v>
      </c>
      <c r="AJ30" s="2">
        <v>0</v>
      </c>
      <c r="AK30" s="2">
        <v>0</v>
      </c>
      <c r="AL30" s="2">
        <v>0</v>
      </c>
      <c r="AM30" s="2">
        <v>82.493400527957803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33.747300215982698</v>
      </c>
      <c r="AZ30" s="2">
        <v>0</v>
      </c>
      <c r="BA30" s="2">
        <v>0</v>
      </c>
      <c r="BB30" s="2">
        <v>0</v>
      </c>
      <c r="BC30" s="2">
        <v>7259.4192464602802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389.96880249579999</v>
      </c>
      <c r="BS30" s="2">
        <v>1447.3842092632599</v>
      </c>
      <c r="BT30" s="2">
        <v>3.7497000239980798</v>
      </c>
      <c r="BU30" s="2">
        <v>0</v>
      </c>
      <c r="BV30" s="2">
        <v>3.7497000239980798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2347.3122150228</v>
      </c>
      <c r="CN30" s="2">
        <v>14.9988000959923</v>
      </c>
      <c r="CO30" s="2">
        <v>0</v>
      </c>
      <c r="CP30" s="2">
        <v>0</v>
      </c>
      <c r="CQ30" s="2">
        <v>0</v>
      </c>
      <c r="CR30" s="2">
        <v>0</v>
      </c>
      <c r="CS30" s="2">
        <v>3.7497000239980798</v>
      </c>
      <c r="CT30" s="2">
        <v>14.9988000959923</v>
      </c>
      <c r="CU30" s="2">
        <v>0</v>
      </c>
      <c r="CV30" s="2">
        <v>0</v>
      </c>
      <c r="CW30" s="2">
        <v>0</v>
      </c>
      <c r="CX30" s="2">
        <v>3.7497000239980798</v>
      </c>
      <c r="CY30" s="2">
        <v>0</v>
      </c>
      <c r="CZ30" s="2">
        <v>11999.040076793901</v>
      </c>
      <c r="DA30" s="2">
        <f t="shared" si="0"/>
        <v>378.71970242380598</v>
      </c>
      <c r="DB30" s="2">
        <f t="shared" si="1"/>
        <v>14.9988000959923</v>
      </c>
      <c r="DC30" s="2">
        <f t="shared" si="2"/>
        <v>7259.4192464602802</v>
      </c>
      <c r="DD30" s="2">
        <f t="shared" si="3"/>
        <v>0</v>
      </c>
      <c r="DE30" s="2">
        <f t="shared" si="4"/>
        <v>472.46220302375781</v>
      </c>
      <c r="DF30" s="2">
        <f t="shared" si="5"/>
        <v>3794.6964242860599</v>
      </c>
      <c r="DG30" s="2">
        <f t="shared" si="6"/>
        <v>11920.296376289896</v>
      </c>
    </row>
    <row r="31" spans="1:111" x14ac:dyDescent="0.35">
      <c r="A31">
        <v>2013</v>
      </c>
      <c r="B31">
        <v>1</v>
      </c>
      <c r="C31">
        <v>112</v>
      </c>
      <c r="D31" s="1">
        <v>41514</v>
      </c>
      <c r="E31">
        <v>41.9956666666667</v>
      </c>
      <c r="F31">
        <v>-83.061000000000007</v>
      </c>
      <c r="G31">
        <v>41.988169999999997</v>
      </c>
      <c r="H31">
        <v>-83.065669999999997</v>
      </c>
      <c r="I31">
        <v>1.7</v>
      </c>
      <c r="J31">
        <v>2</v>
      </c>
      <c r="K31">
        <v>0.5</v>
      </c>
      <c r="L31">
        <v>3</v>
      </c>
      <c r="M31">
        <v>3</v>
      </c>
      <c r="N31">
        <v>24.3</v>
      </c>
      <c r="O31">
        <v>8.6999999999999993</v>
      </c>
      <c r="P31">
        <v>24.1</v>
      </c>
      <c r="Q31">
        <v>8.31</v>
      </c>
      <c r="R31">
        <v>6.6</v>
      </c>
      <c r="S31">
        <v>24.3</v>
      </c>
      <c r="T31">
        <v>8.5399999999999991</v>
      </c>
      <c r="U31">
        <v>7.4</v>
      </c>
      <c r="V31">
        <v>24.5</v>
      </c>
      <c r="W31">
        <v>8.67</v>
      </c>
      <c r="X31">
        <v>21.1</v>
      </c>
      <c r="Y31">
        <v>8.19</v>
      </c>
      <c r="Z31">
        <v>24.3</v>
      </c>
      <c r="AA31">
        <v>8.4499999999999993</v>
      </c>
      <c r="AB31">
        <v>0.27779999999999999</v>
      </c>
      <c r="AC31">
        <v>8</v>
      </c>
      <c r="AD31">
        <v>28</v>
      </c>
      <c r="AE31" t="s">
        <v>105</v>
      </c>
      <c r="AF31" s="2">
        <v>0</v>
      </c>
      <c r="AG31" s="2">
        <v>0</v>
      </c>
      <c r="AH31" s="2">
        <v>0</v>
      </c>
      <c r="AI31" s="2">
        <v>3.5997120230381601</v>
      </c>
      <c r="AJ31" s="2">
        <v>0</v>
      </c>
      <c r="AK31" s="2">
        <v>0</v>
      </c>
      <c r="AL31" s="2">
        <v>0</v>
      </c>
      <c r="AM31" s="2">
        <v>35.997120230381597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28.797696184305298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14.398848092152599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82.793376529877605</v>
      </c>
      <c r="DA31" s="2">
        <f t="shared" si="0"/>
        <v>0</v>
      </c>
      <c r="DB31" s="2">
        <f t="shared" si="1"/>
        <v>3.5997120230381601</v>
      </c>
      <c r="DC31" s="2">
        <f t="shared" si="2"/>
        <v>28.797696184305298</v>
      </c>
      <c r="DD31" s="2">
        <f t="shared" si="3"/>
        <v>0</v>
      </c>
      <c r="DE31" s="2">
        <f t="shared" si="4"/>
        <v>35.997120230381597</v>
      </c>
      <c r="DF31" s="2">
        <f t="shared" si="5"/>
        <v>0</v>
      </c>
      <c r="DG31" s="2">
        <f t="shared" si="6"/>
        <v>68.394528437725057</v>
      </c>
    </row>
    <row r="32" spans="1:111" x14ac:dyDescent="0.35">
      <c r="A32">
        <v>2013</v>
      </c>
      <c r="B32">
        <v>1</v>
      </c>
      <c r="C32">
        <v>113</v>
      </c>
      <c r="D32" s="1">
        <v>41514</v>
      </c>
      <c r="E32">
        <v>41.997500000000002</v>
      </c>
      <c r="F32">
        <v>-83.0595</v>
      </c>
      <c r="G32">
        <v>41.990499999999997</v>
      </c>
      <c r="H32">
        <v>-83.064830000000001</v>
      </c>
      <c r="I32">
        <v>3</v>
      </c>
      <c r="J32">
        <v>2</v>
      </c>
      <c r="K32">
        <v>0.49</v>
      </c>
      <c r="L32">
        <v>3</v>
      </c>
      <c r="M32">
        <v>7</v>
      </c>
      <c r="N32">
        <v>24.3</v>
      </c>
      <c r="O32">
        <v>8.6999999999999993</v>
      </c>
      <c r="P32">
        <v>24.1</v>
      </c>
      <c r="Q32">
        <v>8.39</v>
      </c>
      <c r="S32">
        <v>24.1</v>
      </c>
      <c r="T32">
        <v>8.39</v>
      </c>
      <c r="V32">
        <v>24.4</v>
      </c>
      <c r="W32">
        <v>8.59</v>
      </c>
      <c r="X32">
        <v>24.1</v>
      </c>
      <c r="Y32">
        <v>8.19</v>
      </c>
      <c r="Z32">
        <v>24.1</v>
      </c>
      <c r="AA32">
        <v>8.19</v>
      </c>
      <c r="AB32">
        <v>0.27224399999999999</v>
      </c>
      <c r="AC32">
        <v>8</v>
      </c>
      <c r="AD32">
        <v>28</v>
      </c>
      <c r="AE32" t="s">
        <v>104</v>
      </c>
      <c r="AF32" s="2">
        <v>0</v>
      </c>
      <c r="AG32" s="2">
        <v>7.34635106742481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14.692702134849601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3.6731755337124099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44.078106404548898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3.6731755337124099</v>
      </c>
      <c r="BT32" s="2">
        <v>573.01538325913498</v>
      </c>
      <c r="BU32" s="2">
        <v>14.692702134849601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102.84891494394699</v>
      </c>
      <c r="CO32" s="2">
        <v>0</v>
      </c>
      <c r="CP32" s="2">
        <v>7.34635106742481</v>
      </c>
      <c r="CQ32" s="2">
        <v>0</v>
      </c>
      <c r="CR32" s="2">
        <v>0</v>
      </c>
      <c r="CS32" s="2">
        <v>0</v>
      </c>
      <c r="CT32" s="2">
        <v>3.6731755337124099</v>
      </c>
      <c r="CU32" s="2">
        <v>0</v>
      </c>
      <c r="CV32" s="2">
        <v>0</v>
      </c>
      <c r="CW32" s="2">
        <v>0</v>
      </c>
      <c r="CX32" s="2">
        <v>47.7512819382613</v>
      </c>
      <c r="CY32" s="2">
        <v>0</v>
      </c>
      <c r="CZ32" s="2">
        <v>822.79131955157902</v>
      </c>
      <c r="DA32" s="2">
        <f t="shared" si="0"/>
        <v>0</v>
      </c>
      <c r="DB32" s="2">
        <f t="shared" si="1"/>
        <v>0</v>
      </c>
      <c r="DC32" s="2">
        <f t="shared" si="2"/>
        <v>0</v>
      </c>
      <c r="DD32" s="2">
        <f t="shared" si="3"/>
        <v>0</v>
      </c>
      <c r="DE32" s="2">
        <f t="shared" si="4"/>
        <v>58.770808539398502</v>
      </c>
      <c r="DF32" s="2">
        <f t="shared" si="5"/>
        <v>18.36587766856201</v>
      </c>
      <c r="DG32" s="2">
        <f t="shared" si="6"/>
        <v>77.136686207960508</v>
      </c>
    </row>
    <row r="33" spans="1:111" x14ac:dyDescent="0.35">
      <c r="A33">
        <v>2013</v>
      </c>
      <c r="B33">
        <v>19</v>
      </c>
      <c r="C33">
        <v>114</v>
      </c>
      <c r="D33" s="1">
        <v>41515</v>
      </c>
      <c r="E33">
        <v>42.001166666666698</v>
      </c>
      <c r="F33">
        <v>-82.582833333333298</v>
      </c>
      <c r="G33">
        <v>41.992669999999997</v>
      </c>
      <c r="H33">
        <v>-82.580830000000006</v>
      </c>
      <c r="I33">
        <v>1.5</v>
      </c>
      <c r="J33">
        <v>1.7</v>
      </c>
      <c r="K33">
        <v>0.52</v>
      </c>
      <c r="L33">
        <v>3</v>
      </c>
      <c r="M33">
        <v>3</v>
      </c>
      <c r="N33">
        <v>24</v>
      </c>
      <c r="O33">
        <v>7.78</v>
      </c>
      <c r="P33">
        <v>23.8</v>
      </c>
      <c r="Q33">
        <v>7.35</v>
      </c>
      <c r="R33">
        <v>9</v>
      </c>
      <c r="S33">
        <v>24.1</v>
      </c>
      <c r="T33">
        <v>7.76</v>
      </c>
      <c r="U33">
        <v>9.6999999999999993</v>
      </c>
      <c r="V33">
        <v>24.1</v>
      </c>
      <c r="W33">
        <v>8.34</v>
      </c>
      <c r="X33">
        <v>23.7</v>
      </c>
      <c r="Y33">
        <v>7.61</v>
      </c>
      <c r="Z33">
        <v>24.1</v>
      </c>
      <c r="AA33">
        <v>7.76</v>
      </c>
      <c r="AB33">
        <v>0.288912</v>
      </c>
      <c r="AC33">
        <v>8</v>
      </c>
      <c r="AD33">
        <v>29</v>
      </c>
      <c r="AE33" t="s">
        <v>105</v>
      </c>
      <c r="AF33" s="2">
        <v>0</v>
      </c>
      <c r="AG33" s="2">
        <v>0</v>
      </c>
      <c r="AH33" s="2">
        <v>3.4612615606136101</v>
      </c>
      <c r="AI33" s="2">
        <v>6.9225231212272202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10660.6856066899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10671.069391371801</v>
      </c>
      <c r="DA33" s="2">
        <f t="shared" si="0"/>
        <v>3.4612615606136101</v>
      </c>
      <c r="DB33" s="2">
        <f t="shared" si="1"/>
        <v>6.9225231212272202</v>
      </c>
      <c r="DC33" s="2">
        <f t="shared" si="2"/>
        <v>10660.6856066899</v>
      </c>
      <c r="DD33" s="2">
        <f t="shared" si="3"/>
        <v>0</v>
      </c>
      <c r="DE33" s="2">
        <f t="shared" si="4"/>
        <v>0</v>
      </c>
      <c r="DF33" s="2">
        <f t="shared" si="5"/>
        <v>0</v>
      </c>
      <c r="DG33" s="2">
        <f t="shared" si="6"/>
        <v>10671.06939137174</v>
      </c>
    </row>
    <row r="34" spans="1:111" x14ac:dyDescent="0.35">
      <c r="A34">
        <v>2013</v>
      </c>
      <c r="B34">
        <v>19</v>
      </c>
      <c r="C34">
        <v>115</v>
      </c>
      <c r="D34" s="1">
        <v>41515</v>
      </c>
      <c r="E34">
        <v>42.0015</v>
      </c>
      <c r="F34">
        <v>-82.583166666666699</v>
      </c>
      <c r="G34">
        <v>41.994329999999998</v>
      </c>
      <c r="H34">
        <v>-82.577669999999998</v>
      </c>
      <c r="I34">
        <v>1.5</v>
      </c>
      <c r="J34">
        <v>1.7</v>
      </c>
      <c r="K34">
        <v>0.49</v>
      </c>
      <c r="L34">
        <v>3</v>
      </c>
      <c r="M34">
        <v>9</v>
      </c>
      <c r="N34">
        <v>24</v>
      </c>
      <c r="O34">
        <v>7.78</v>
      </c>
      <c r="P34">
        <v>23.8</v>
      </c>
      <c r="Q34">
        <v>7.35</v>
      </c>
      <c r="R34">
        <v>8.9</v>
      </c>
      <c r="S34">
        <v>23.8</v>
      </c>
      <c r="T34">
        <v>7.35</v>
      </c>
      <c r="U34">
        <v>9.3000000000000007</v>
      </c>
      <c r="V34">
        <v>24.1</v>
      </c>
      <c r="W34">
        <v>8.34</v>
      </c>
      <c r="X34">
        <v>23.7</v>
      </c>
      <c r="Y34">
        <v>7.66</v>
      </c>
      <c r="Z34">
        <v>23.7</v>
      </c>
      <c r="AA34">
        <v>7.61</v>
      </c>
      <c r="AB34">
        <v>0.27224399999999999</v>
      </c>
      <c r="AC34">
        <v>8</v>
      </c>
      <c r="AD34">
        <v>29</v>
      </c>
      <c r="AE34" t="s">
        <v>104</v>
      </c>
      <c r="AF34" s="2">
        <v>0</v>
      </c>
      <c r="AG34" s="2">
        <v>0</v>
      </c>
      <c r="AH34" s="2">
        <v>40.404930870836502</v>
      </c>
      <c r="AI34" s="2">
        <v>3820.1025550609002</v>
      </c>
      <c r="AJ34" s="2">
        <v>0</v>
      </c>
      <c r="AK34" s="2">
        <v>0</v>
      </c>
      <c r="AL34" s="2">
        <v>0</v>
      </c>
      <c r="AM34" s="2">
        <v>492.20552151746199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18.365877668562</v>
      </c>
      <c r="AZ34" s="2">
        <v>3.6731755337124099</v>
      </c>
      <c r="BA34" s="2">
        <v>18.365877668562</v>
      </c>
      <c r="BB34" s="2">
        <v>0</v>
      </c>
      <c r="BC34" s="2">
        <v>1123.991713316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3.6731755337124099</v>
      </c>
      <c r="BQ34" s="2">
        <v>0</v>
      </c>
      <c r="BR34" s="2">
        <v>0</v>
      </c>
      <c r="BS34" s="2">
        <v>14.692702134849601</v>
      </c>
      <c r="BT34" s="2">
        <v>172.639250084483</v>
      </c>
      <c r="BU34" s="2">
        <v>22.039053202274399</v>
      </c>
      <c r="BV34" s="2">
        <v>25.712228735986798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7.34635106742481</v>
      </c>
      <c r="CO34" s="2">
        <v>0</v>
      </c>
      <c r="CP34" s="2">
        <v>3.6731755337124099</v>
      </c>
      <c r="CQ34" s="2">
        <v>7.34635106742481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22.039053202274399</v>
      </c>
      <c r="CY34" s="2">
        <v>0</v>
      </c>
      <c r="CZ34" s="2">
        <v>5796.2709921981796</v>
      </c>
      <c r="DA34" s="2">
        <f t="shared" si="0"/>
        <v>40.404930870836502</v>
      </c>
      <c r="DB34" s="2">
        <f t="shared" si="1"/>
        <v>3820.1025550609002</v>
      </c>
      <c r="DC34" s="2">
        <f t="shared" si="2"/>
        <v>1123.991713316</v>
      </c>
      <c r="DD34" s="2">
        <f t="shared" si="3"/>
        <v>0</v>
      </c>
      <c r="DE34" s="2">
        <f t="shared" si="4"/>
        <v>492.20552151746199</v>
      </c>
      <c r="DF34" s="2">
        <f t="shared" si="5"/>
        <v>36.731755337124</v>
      </c>
      <c r="DG34" s="2">
        <f t="shared" si="6"/>
        <v>5513.4364761023226</v>
      </c>
    </row>
    <row r="35" spans="1:111" x14ac:dyDescent="0.35">
      <c r="A35">
        <v>2013</v>
      </c>
      <c r="B35">
        <v>18</v>
      </c>
      <c r="C35">
        <v>116</v>
      </c>
      <c r="D35" s="1">
        <v>41515</v>
      </c>
      <c r="E35">
        <v>41.696666666666701</v>
      </c>
      <c r="F35">
        <v>-82.557333333333304</v>
      </c>
      <c r="G35">
        <v>41.690829999999998</v>
      </c>
      <c r="H35">
        <v>-82.564499999999995</v>
      </c>
      <c r="I35">
        <v>1.9</v>
      </c>
      <c r="J35">
        <v>2.2000000000000002</v>
      </c>
      <c r="K35">
        <v>0.49</v>
      </c>
      <c r="L35">
        <v>3</v>
      </c>
      <c r="M35">
        <v>6</v>
      </c>
      <c r="N35">
        <v>23.7</v>
      </c>
      <c r="O35">
        <v>9.24</v>
      </c>
      <c r="P35">
        <v>23.2</v>
      </c>
      <c r="Q35">
        <v>7.77</v>
      </c>
      <c r="R35">
        <v>12.5</v>
      </c>
      <c r="S35">
        <v>23.5</v>
      </c>
      <c r="T35">
        <v>9.02</v>
      </c>
      <c r="U35">
        <v>12.4</v>
      </c>
      <c r="V35">
        <v>23.9</v>
      </c>
      <c r="W35">
        <v>9.34</v>
      </c>
      <c r="X35">
        <v>23.2</v>
      </c>
      <c r="Y35">
        <v>7.22</v>
      </c>
      <c r="Z35">
        <v>23.5</v>
      </c>
      <c r="AA35">
        <v>8.8699999999999992</v>
      </c>
      <c r="AB35">
        <v>0.27224399999999999</v>
      </c>
      <c r="AC35">
        <v>8</v>
      </c>
      <c r="AD35">
        <v>29</v>
      </c>
      <c r="AE35" t="s">
        <v>105</v>
      </c>
      <c r="AF35" s="2">
        <v>0</v>
      </c>
      <c r="AG35" s="2">
        <v>0</v>
      </c>
      <c r="AH35" s="2">
        <v>0</v>
      </c>
      <c r="AI35" s="2">
        <v>157.94654794963299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33940.1419315026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34098.088479452301</v>
      </c>
      <c r="DA35" s="2">
        <f t="shared" si="0"/>
        <v>0</v>
      </c>
      <c r="DB35" s="2">
        <f t="shared" si="1"/>
        <v>157.94654794963299</v>
      </c>
      <c r="DC35" s="2">
        <f t="shared" si="2"/>
        <v>33940.1419315026</v>
      </c>
      <c r="DD35" s="2">
        <f t="shared" si="3"/>
        <v>0</v>
      </c>
      <c r="DE35" s="2">
        <f t="shared" si="4"/>
        <v>0</v>
      </c>
      <c r="DF35" s="2">
        <f t="shared" si="5"/>
        <v>0</v>
      </c>
      <c r="DG35" s="2">
        <f t="shared" si="6"/>
        <v>34098.088479452235</v>
      </c>
    </row>
    <row r="36" spans="1:111" x14ac:dyDescent="0.35">
      <c r="A36">
        <v>2013</v>
      </c>
      <c r="B36">
        <v>18</v>
      </c>
      <c r="C36">
        <v>117</v>
      </c>
      <c r="D36" s="1">
        <v>41515</v>
      </c>
      <c r="E36">
        <v>41.696666666666701</v>
      </c>
      <c r="F36">
        <v>-82.557333333333304</v>
      </c>
      <c r="G36">
        <v>41.690829999999998</v>
      </c>
      <c r="H36">
        <v>-82.564499999999995</v>
      </c>
      <c r="I36">
        <v>1.9</v>
      </c>
      <c r="J36">
        <v>2.2000000000000002</v>
      </c>
      <c r="K36">
        <v>0.49</v>
      </c>
      <c r="L36">
        <v>3</v>
      </c>
      <c r="M36">
        <v>9</v>
      </c>
      <c r="N36">
        <v>23.7</v>
      </c>
      <c r="O36">
        <v>9.27</v>
      </c>
      <c r="P36">
        <v>23.2</v>
      </c>
      <c r="Q36">
        <v>7.77</v>
      </c>
      <c r="R36">
        <v>12.5</v>
      </c>
      <c r="S36">
        <v>23.5</v>
      </c>
      <c r="T36">
        <v>8.65</v>
      </c>
      <c r="U36">
        <v>12.4</v>
      </c>
      <c r="V36">
        <v>23.4</v>
      </c>
      <c r="W36">
        <v>9.34</v>
      </c>
      <c r="X36">
        <v>23.2</v>
      </c>
      <c r="Y36">
        <v>7.22</v>
      </c>
      <c r="Z36">
        <v>23.5</v>
      </c>
      <c r="AA36">
        <v>8.51</v>
      </c>
      <c r="AB36">
        <v>0.27224399999999999</v>
      </c>
      <c r="AC36">
        <v>8</v>
      </c>
      <c r="AD36">
        <v>29</v>
      </c>
      <c r="AE36" t="s">
        <v>106</v>
      </c>
      <c r="AF36" s="2">
        <v>0</v>
      </c>
      <c r="AG36" s="2">
        <v>0</v>
      </c>
      <c r="AH36" s="2">
        <v>22.039053202274399</v>
      </c>
      <c r="AI36" s="2">
        <v>36.731755337124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18450.3607058374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18509.131514376801</v>
      </c>
      <c r="DA36" s="2">
        <f t="shared" si="0"/>
        <v>22.039053202274399</v>
      </c>
      <c r="DB36" s="2">
        <f t="shared" si="1"/>
        <v>36.731755337124</v>
      </c>
      <c r="DC36" s="2">
        <f t="shared" si="2"/>
        <v>18450.3607058374</v>
      </c>
      <c r="DD36" s="2">
        <f t="shared" si="3"/>
        <v>0</v>
      </c>
      <c r="DE36" s="2">
        <f t="shared" si="4"/>
        <v>0</v>
      </c>
      <c r="DF36" s="2">
        <f t="shared" si="5"/>
        <v>0</v>
      </c>
      <c r="DG36" s="2">
        <f t="shared" si="6"/>
        <v>18509.131514376797</v>
      </c>
    </row>
    <row r="37" spans="1:111" x14ac:dyDescent="0.35">
      <c r="A37">
        <v>2013</v>
      </c>
      <c r="B37">
        <v>18</v>
      </c>
      <c r="C37">
        <v>118</v>
      </c>
      <c r="D37" s="1">
        <v>41515</v>
      </c>
      <c r="E37">
        <v>41.695833333333297</v>
      </c>
      <c r="F37">
        <v>-82.554500000000004</v>
      </c>
      <c r="G37">
        <v>41.689169999999997</v>
      </c>
      <c r="H37">
        <v>-82.560500000000005</v>
      </c>
      <c r="I37">
        <v>1.9</v>
      </c>
      <c r="J37">
        <v>2.2000000000000002</v>
      </c>
      <c r="K37">
        <v>0.49</v>
      </c>
      <c r="L37">
        <v>3</v>
      </c>
      <c r="M37">
        <v>12.5</v>
      </c>
      <c r="N37">
        <v>23.7</v>
      </c>
      <c r="O37">
        <v>9.27</v>
      </c>
      <c r="P37">
        <v>23.2</v>
      </c>
      <c r="Q37">
        <v>7.77</v>
      </c>
      <c r="R37">
        <v>12.5</v>
      </c>
      <c r="S37">
        <v>23.2</v>
      </c>
      <c r="T37">
        <v>7.77</v>
      </c>
      <c r="U37">
        <v>12.5</v>
      </c>
      <c r="V37">
        <v>23.9</v>
      </c>
      <c r="W37">
        <v>9.34</v>
      </c>
      <c r="X37">
        <v>23.2</v>
      </c>
      <c r="Y37">
        <v>7.22</v>
      </c>
      <c r="Z37">
        <v>23.2</v>
      </c>
      <c r="AA37">
        <v>7.22</v>
      </c>
      <c r="AB37">
        <v>0.27224399999999999</v>
      </c>
      <c r="AC37">
        <v>8</v>
      </c>
      <c r="AD37">
        <v>29</v>
      </c>
      <c r="AE37" t="s">
        <v>104</v>
      </c>
      <c r="AF37" s="2">
        <v>0</v>
      </c>
      <c r="AG37" s="2">
        <v>0</v>
      </c>
      <c r="AH37" s="2">
        <v>0</v>
      </c>
      <c r="AI37" s="2">
        <v>66.117159606823293</v>
      </c>
      <c r="AJ37" s="2">
        <v>0</v>
      </c>
      <c r="AK37" s="2">
        <v>0</v>
      </c>
      <c r="AL37" s="2">
        <v>0</v>
      </c>
      <c r="AM37" s="2">
        <v>135.90749474735901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13987.4524323768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7.34635106742481</v>
      </c>
      <c r="BU37" s="2">
        <v>0</v>
      </c>
      <c r="BV37" s="2">
        <v>7.34635106742481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14204.1697888659</v>
      </c>
      <c r="DA37" s="2">
        <f t="shared" si="0"/>
        <v>0</v>
      </c>
      <c r="DB37" s="2">
        <f t="shared" si="1"/>
        <v>66.117159606823293</v>
      </c>
      <c r="DC37" s="2">
        <f t="shared" si="2"/>
        <v>13987.4524323768</v>
      </c>
      <c r="DD37" s="2">
        <f t="shared" si="3"/>
        <v>0</v>
      </c>
      <c r="DE37" s="2">
        <f t="shared" si="4"/>
        <v>135.90749474735901</v>
      </c>
      <c r="DF37" s="2">
        <f t="shared" si="5"/>
        <v>0</v>
      </c>
      <c r="DG37" s="2">
        <f t="shared" si="6"/>
        <v>14189.477086730982</v>
      </c>
    </row>
    <row r="38" spans="1:111" x14ac:dyDescent="0.35">
      <c r="A38">
        <v>2014</v>
      </c>
      <c r="B38">
        <v>18</v>
      </c>
      <c r="C38">
        <v>101</v>
      </c>
      <c r="D38" s="1">
        <v>41876</v>
      </c>
      <c r="E38">
        <v>41.704166666666701</v>
      </c>
      <c r="F38">
        <v>-82.553833333333301</v>
      </c>
      <c r="G38">
        <v>41.71</v>
      </c>
      <c r="H38">
        <v>-82.561499999999995</v>
      </c>
      <c r="I38">
        <v>2</v>
      </c>
      <c r="K38">
        <v>0.43</v>
      </c>
      <c r="L38">
        <v>2.8</v>
      </c>
      <c r="M38">
        <v>10</v>
      </c>
      <c r="N38">
        <v>23.68</v>
      </c>
      <c r="O38">
        <v>11.45</v>
      </c>
      <c r="P38">
        <v>22.3</v>
      </c>
      <c r="Q38">
        <v>6.95</v>
      </c>
      <c r="R38">
        <v>12.1</v>
      </c>
      <c r="S38">
        <v>23.51</v>
      </c>
      <c r="T38">
        <v>11.27</v>
      </c>
      <c r="U38">
        <v>11.9</v>
      </c>
      <c r="V38">
        <v>24.22</v>
      </c>
      <c r="W38">
        <v>11.68</v>
      </c>
      <c r="X38">
        <v>23.5</v>
      </c>
      <c r="Y38">
        <v>10.8</v>
      </c>
      <c r="AB38">
        <v>0.23890800000000001</v>
      </c>
      <c r="AC38">
        <v>8</v>
      </c>
      <c r="AD38">
        <v>25</v>
      </c>
      <c r="AE38" t="s">
        <v>106</v>
      </c>
      <c r="AF38" s="2">
        <v>0</v>
      </c>
      <c r="AG38" s="2">
        <v>0</v>
      </c>
      <c r="AH38" s="2">
        <v>0</v>
      </c>
      <c r="AI38" s="2">
        <v>364.15691395851098</v>
      </c>
      <c r="AJ38" s="2">
        <v>0</v>
      </c>
      <c r="AK38" s="2">
        <v>0</v>
      </c>
      <c r="AL38" s="2">
        <v>0</v>
      </c>
      <c r="AM38" s="2">
        <v>87.899944748606202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11565.1213019238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16.742846618782099</v>
      </c>
      <c r="BV38" s="2">
        <v>8.3714233093910604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12042.292430559</v>
      </c>
      <c r="DA38" s="2">
        <f t="shared" si="0"/>
        <v>0</v>
      </c>
      <c r="DB38" s="2">
        <f t="shared" si="1"/>
        <v>364.15691395851098</v>
      </c>
      <c r="DC38" s="2">
        <f t="shared" si="2"/>
        <v>11565.1213019238</v>
      </c>
      <c r="DD38" s="2">
        <f t="shared" si="3"/>
        <v>0</v>
      </c>
      <c r="DE38" s="2">
        <f t="shared" si="4"/>
        <v>87.899944748606202</v>
      </c>
      <c r="DF38" s="2">
        <f t="shared" si="5"/>
        <v>16.742846618782099</v>
      </c>
      <c r="DG38" s="2">
        <f t="shared" si="6"/>
        <v>12033.921007249701</v>
      </c>
    </row>
    <row r="39" spans="1:111" x14ac:dyDescent="0.35">
      <c r="A39">
        <v>2014</v>
      </c>
      <c r="B39">
        <v>18</v>
      </c>
      <c r="C39">
        <v>102</v>
      </c>
      <c r="D39" s="1">
        <v>41876</v>
      </c>
      <c r="E39">
        <v>41.702166666666699</v>
      </c>
      <c r="F39">
        <v>-82.55</v>
      </c>
      <c r="G39">
        <v>41.70617</v>
      </c>
      <c r="H39">
        <v>-82.564170000000004</v>
      </c>
      <c r="I39">
        <v>2</v>
      </c>
      <c r="K39">
        <v>0.44</v>
      </c>
      <c r="L39">
        <v>0.63</v>
      </c>
      <c r="M39">
        <v>12.1</v>
      </c>
      <c r="N39">
        <v>23.68</v>
      </c>
      <c r="O39">
        <v>11.45</v>
      </c>
      <c r="P39">
        <v>22.3</v>
      </c>
      <c r="Q39">
        <v>6.95</v>
      </c>
      <c r="R39">
        <v>12.1</v>
      </c>
      <c r="S39">
        <v>23.51</v>
      </c>
      <c r="T39">
        <v>11.27</v>
      </c>
      <c r="U39">
        <v>11.9</v>
      </c>
      <c r="V39">
        <v>24.22</v>
      </c>
      <c r="W39">
        <v>11.68</v>
      </c>
      <c r="X39">
        <v>23.5</v>
      </c>
      <c r="Y39">
        <v>10.8</v>
      </c>
      <c r="Z39">
        <v>23.5</v>
      </c>
      <c r="AA39">
        <v>10.8</v>
      </c>
      <c r="AB39">
        <v>0.24446399999999999</v>
      </c>
      <c r="AC39">
        <v>8</v>
      </c>
      <c r="AD39">
        <v>25</v>
      </c>
      <c r="AE39" t="s">
        <v>104</v>
      </c>
      <c r="AF39" s="2">
        <v>0</v>
      </c>
      <c r="AG39" s="2">
        <v>0</v>
      </c>
      <c r="AH39" s="2">
        <v>0</v>
      </c>
      <c r="AI39" s="2">
        <v>61.358727665423103</v>
      </c>
      <c r="AJ39" s="2">
        <v>0</v>
      </c>
      <c r="AK39" s="2">
        <v>0</v>
      </c>
      <c r="AL39" s="2">
        <v>0</v>
      </c>
      <c r="AM39" s="2">
        <v>3170.2009293801998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1938.93579422737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1133.0911708881499</v>
      </c>
      <c r="BT39" s="2">
        <v>0</v>
      </c>
      <c r="BU39" s="2">
        <v>16.362327377446199</v>
      </c>
      <c r="BV39" s="2">
        <v>8.1811636887230801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985.83022449113196</v>
      </c>
      <c r="CN39" s="2">
        <v>4.09058184436154</v>
      </c>
      <c r="CO39" s="2">
        <v>12.2717455330846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4.09058184436154</v>
      </c>
      <c r="CY39" s="2">
        <v>0</v>
      </c>
      <c r="CZ39" s="2">
        <v>7334.4132469402502</v>
      </c>
      <c r="DA39" s="2">
        <f t="shared" si="0"/>
        <v>0</v>
      </c>
      <c r="DB39" s="2">
        <f t="shared" si="1"/>
        <v>61.358727665423103</v>
      </c>
      <c r="DC39" s="2">
        <f t="shared" si="2"/>
        <v>1938.93579422737</v>
      </c>
      <c r="DD39" s="2">
        <f t="shared" si="3"/>
        <v>0</v>
      </c>
      <c r="DE39" s="2">
        <f t="shared" si="4"/>
        <v>3170.2009293801998</v>
      </c>
      <c r="DF39" s="2">
        <f t="shared" si="5"/>
        <v>2147.5554682898123</v>
      </c>
      <c r="DG39" s="2">
        <f t="shared" si="6"/>
        <v>7318.0509195628056</v>
      </c>
    </row>
    <row r="40" spans="1:111" x14ac:dyDescent="0.35">
      <c r="A40">
        <v>2014</v>
      </c>
      <c r="B40">
        <v>18</v>
      </c>
      <c r="C40">
        <v>103</v>
      </c>
      <c r="D40" s="1">
        <v>41876</v>
      </c>
      <c r="E40">
        <v>41.700499999999998</v>
      </c>
      <c r="F40">
        <v>-82.553333333333299</v>
      </c>
      <c r="G40">
        <v>41.704500000000003</v>
      </c>
      <c r="H40">
        <v>-82.561499999999995</v>
      </c>
      <c r="I40">
        <v>2</v>
      </c>
      <c r="K40">
        <v>0.44</v>
      </c>
      <c r="L40">
        <v>3</v>
      </c>
      <c r="M40">
        <v>6</v>
      </c>
      <c r="N40">
        <v>23.68</v>
      </c>
      <c r="O40">
        <v>11.45</v>
      </c>
      <c r="P40">
        <v>22.3</v>
      </c>
      <c r="Q40">
        <v>6.95</v>
      </c>
      <c r="R40">
        <v>12.2</v>
      </c>
      <c r="S40">
        <v>23.59</v>
      </c>
      <c r="T40">
        <v>11.48</v>
      </c>
      <c r="U40">
        <v>12</v>
      </c>
      <c r="V40">
        <v>24.22</v>
      </c>
      <c r="W40">
        <v>11.68</v>
      </c>
      <c r="X40">
        <v>23.5</v>
      </c>
      <c r="Y40">
        <v>10.8</v>
      </c>
      <c r="AB40">
        <v>0.24446399999999999</v>
      </c>
      <c r="AC40">
        <v>8</v>
      </c>
      <c r="AD40">
        <v>25</v>
      </c>
      <c r="AE40" t="s">
        <v>105</v>
      </c>
      <c r="AF40" s="2">
        <v>0</v>
      </c>
      <c r="AG40" s="2">
        <v>0</v>
      </c>
      <c r="AH40" s="2">
        <v>0</v>
      </c>
      <c r="AI40" s="2">
        <v>2712.0557628116999</v>
      </c>
      <c r="AJ40" s="2">
        <v>0</v>
      </c>
      <c r="AK40" s="2">
        <v>0</v>
      </c>
      <c r="AL40" s="2">
        <v>0</v>
      </c>
      <c r="AM40" s="2">
        <v>118.626873486485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5612.2782904640399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16.362327377446199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4.09058184436154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8463.4138359840308</v>
      </c>
      <c r="DA40" s="2">
        <f t="shared" si="0"/>
        <v>0</v>
      </c>
      <c r="DB40" s="2">
        <f t="shared" si="1"/>
        <v>2712.0557628116999</v>
      </c>
      <c r="DC40" s="2">
        <f t="shared" si="2"/>
        <v>5612.2782904640399</v>
      </c>
      <c r="DD40" s="2">
        <f t="shared" si="3"/>
        <v>0</v>
      </c>
      <c r="DE40" s="2">
        <f t="shared" si="4"/>
        <v>118.626873486485</v>
      </c>
      <c r="DF40" s="2">
        <f t="shared" si="5"/>
        <v>20.45290922180774</v>
      </c>
      <c r="DG40" s="2">
        <f t="shared" si="6"/>
        <v>8463.4138359840308</v>
      </c>
    </row>
    <row r="41" spans="1:111" x14ac:dyDescent="0.35">
      <c r="A41">
        <v>2014</v>
      </c>
      <c r="B41">
        <v>19</v>
      </c>
      <c r="C41">
        <v>104</v>
      </c>
      <c r="D41" s="1">
        <v>41877</v>
      </c>
      <c r="E41">
        <v>42.006</v>
      </c>
      <c r="F41">
        <v>-82.584333333333305</v>
      </c>
      <c r="G41">
        <v>42.011499999999998</v>
      </c>
      <c r="H41">
        <v>-82.582170000000005</v>
      </c>
      <c r="I41">
        <v>2.1</v>
      </c>
      <c r="J41">
        <v>2</v>
      </c>
      <c r="K41">
        <v>0.33</v>
      </c>
      <c r="L41">
        <v>2.9</v>
      </c>
      <c r="M41">
        <v>8.3000000000000007</v>
      </c>
      <c r="N41">
        <v>24.19</v>
      </c>
      <c r="O41">
        <v>9.94</v>
      </c>
      <c r="P41">
        <v>23.99</v>
      </c>
      <c r="Q41">
        <v>9.1300000000000008</v>
      </c>
      <c r="R41">
        <v>8.3000000000000007</v>
      </c>
      <c r="S41">
        <v>23.99</v>
      </c>
      <c r="T41">
        <v>9.1300000000000008</v>
      </c>
      <c r="U41">
        <v>7</v>
      </c>
      <c r="V41">
        <v>24.39</v>
      </c>
      <c r="W41">
        <v>8.91</v>
      </c>
      <c r="X41">
        <v>24.22</v>
      </c>
      <c r="Y41">
        <v>9.4600000000000009</v>
      </c>
      <c r="AB41">
        <v>0.18334800000000001</v>
      </c>
      <c r="AC41">
        <v>8</v>
      </c>
      <c r="AD41">
        <v>26</v>
      </c>
      <c r="AE41" t="s">
        <v>104</v>
      </c>
      <c r="AF41" s="2">
        <v>0</v>
      </c>
      <c r="AG41" s="2">
        <v>0</v>
      </c>
      <c r="AH41" s="2">
        <v>0</v>
      </c>
      <c r="AI41" s="2">
        <v>610.86022209132398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16.362327377446199</v>
      </c>
      <c r="BA41" s="2">
        <v>0</v>
      </c>
      <c r="BB41" s="2">
        <v>0</v>
      </c>
      <c r="BC41" s="2">
        <v>687.21774985273896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5.45410912581539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10.9082182516308</v>
      </c>
      <c r="CN41" s="2">
        <v>0</v>
      </c>
      <c r="CO41" s="2">
        <v>5.45410912581539</v>
      </c>
      <c r="CP41" s="2">
        <v>5.45410912581539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5.45410912581539</v>
      </c>
      <c r="CY41" s="2">
        <v>0</v>
      </c>
      <c r="CZ41" s="2">
        <v>1347.1649540763999</v>
      </c>
      <c r="DA41" s="2">
        <f t="shared" si="0"/>
        <v>0</v>
      </c>
      <c r="DB41" s="2">
        <f t="shared" si="1"/>
        <v>610.86022209132398</v>
      </c>
      <c r="DC41" s="2">
        <f t="shared" si="2"/>
        <v>687.21774985273896</v>
      </c>
      <c r="DD41" s="2">
        <f t="shared" si="3"/>
        <v>0</v>
      </c>
      <c r="DE41" s="2">
        <f t="shared" si="4"/>
        <v>0</v>
      </c>
      <c r="DF41" s="2">
        <f t="shared" si="5"/>
        <v>21.816436503261578</v>
      </c>
      <c r="DG41" s="2">
        <f t="shared" si="6"/>
        <v>1319.8944084473246</v>
      </c>
    </row>
    <row r="42" spans="1:111" x14ac:dyDescent="0.35">
      <c r="A42">
        <v>2014</v>
      </c>
      <c r="B42">
        <v>19</v>
      </c>
      <c r="C42">
        <v>105</v>
      </c>
      <c r="D42" s="1">
        <v>41877</v>
      </c>
      <c r="E42">
        <v>42.004166666666698</v>
      </c>
      <c r="F42">
        <v>-82.586666666666702</v>
      </c>
      <c r="G42">
        <v>42.011830000000003</v>
      </c>
      <c r="H42">
        <v>-82.584829999999997</v>
      </c>
      <c r="I42">
        <v>2.1</v>
      </c>
      <c r="J42">
        <v>2</v>
      </c>
      <c r="K42">
        <v>0.47</v>
      </c>
      <c r="L42">
        <v>2.9</v>
      </c>
      <c r="M42">
        <v>0.6</v>
      </c>
      <c r="N42">
        <v>24.19</v>
      </c>
      <c r="O42">
        <v>9.94</v>
      </c>
      <c r="P42">
        <v>23.99</v>
      </c>
      <c r="Q42">
        <v>9.1300000000000008</v>
      </c>
      <c r="R42">
        <v>8.6</v>
      </c>
      <c r="S42">
        <v>23.99</v>
      </c>
      <c r="T42">
        <v>9.1300000000000008</v>
      </c>
      <c r="U42">
        <v>7.7</v>
      </c>
      <c r="V42">
        <v>24.39</v>
      </c>
      <c r="W42">
        <v>8.91</v>
      </c>
      <c r="X42">
        <v>24.22</v>
      </c>
      <c r="Y42">
        <v>9.4600000000000009</v>
      </c>
      <c r="Z42">
        <v>24.3</v>
      </c>
      <c r="AA42">
        <v>8.91</v>
      </c>
      <c r="AB42">
        <v>0.26113199999999998</v>
      </c>
      <c r="AC42">
        <v>8</v>
      </c>
      <c r="AD42">
        <v>26</v>
      </c>
      <c r="AE42" t="s">
        <v>105</v>
      </c>
      <c r="AF42" s="2">
        <v>0</v>
      </c>
      <c r="AG42" s="2">
        <v>0</v>
      </c>
      <c r="AH42" s="2">
        <v>0</v>
      </c>
      <c r="AI42" s="2">
        <v>995.66502764885195</v>
      </c>
      <c r="AJ42" s="2">
        <v>0</v>
      </c>
      <c r="AK42" s="2">
        <v>0</v>
      </c>
      <c r="AL42" s="2">
        <v>0</v>
      </c>
      <c r="AM42" s="2">
        <v>7.6589617511450196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3082.7321048358699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4086.0560942358702</v>
      </c>
      <c r="DA42" s="2">
        <f t="shared" si="0"/>
        <v>0</v>
      </c>
      <c r="DB42" s="2">
        <f t="shared" si="1"/>
        <v>995.66502764885195</v>
      </c>
      <c r="DC42" s="2">
        <f t="shared" si="2"/>
        <v>3082.7321048358699</v>
      </c>
      <c r="DD42" s="2">
        <f t="shared" si="3"/>
        <v>0</v>
      </c>
      <c r="DE42" s="2">
        <f t="shared" si="4"/>
        <v>7.6589617511450196</v>
      </c>
      <c r="DF42" s="2">
        <f t="shared" si="5"/>
        <v>0</v>
      </c>
      <c r="DG42" s="2">
        <f t="shared" si="6"/>
        <v>4086.0560942358666</v>
      </c>
    </row>
    <row r="43" spans="1:111" x14ac:dyDescent="0.35">
      <c r="A43">
        <v>2014</v>
      </c>
      <c r="B43">
        <v>12</v>
      </c>
      <c r="C43">
        <v>106</v>
      </c>
      <c r="D43" s="1">
        <v>41877</v>
      </c>
      <c r="E43">
        <v>41.9508333333333</v>
      </c>
      <c r="F43">
        <v>-82.694000000000003</v>
      </c>
      <c r="G43">
        <v>41.956670000000003</v>
      </c>
      <c r="H43">
        <v>-82.688670000000002</v>
      </c>
      <c r="I43">
        <v>2.5</v>
      </c>
      <c r="J43">
        <v>2.2999999999999998</v>
      </c>
      <c r="K43">
        <v>0.63</v>
      </c>
      <c r="L43">
        <v>3</v>
      </c>
      <c r="M43">
        <v>10.9</v>
      </c>
      <c r="N43">
        <v>23.61</v>
      </c>
      <c r="O43">
        <v>9.8800000000000008</v>
      </c>
      <c r="P43">
        <v>22.63</v>
      </c>
      <c r="Q43">
        <v>7.57</v>
      </c>
      <c r="R43">
        <v>10.9</v>
      </c>
      <c r="S43">
        <v>22.63</v>
      </c>
      <c r="T43">
        <v>9.8800000000000008</v>
      </c>
      <c r="U43">
        <v>10.7</v>
      </c>
      <c r="V43">
        <v>23.61</v>
      </c>
      <c r="W43">
        <v>9.9700000000000006</v>
      </c>
      <c r="X43">
        <v>23.47</v>
      </c>
      <c r="Y43">
        <v>9.6199999999999992</v>
      </c>
      <c r="Z43">
        <v>23.4</v>
      </c>
      <c r="AA43">
        <v>9.6199999999999992</v>
      </c>
      <c r="AB43">
        <v>0.35002800000000001</v>
      </c>
      <c r="AC43">
        <v>8</v>
      </c>
      <c r="AD43">
        <v>26</v>
      </c>
      <c r="AE43" t="s">
        <v>104</v>
      </c>
      <c r="AF43" s="2">
        <v>0</v>
      </c>
      <c r="AG43" s="2">
        <v>0</v>
      </c>
      <c r="AH43" s="2">
        <v>0</v>
      </c>
      <c r="AI43" s="2">
        <v>157.13028671992001</v>
      </c>
      <c r="AJ43" s="2">
        <v>0</v>
      </c>
      <c r="AK43" s="2">
        <v>0</v>
      </c>
      <c r="AL43" s="2">
        <v>0</v>
      </c>
      <c r="AM43" s="2">
        <v>237.123887231879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514.24457471973699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922.78332019152799</v>
      </c>
      <c r="BT43" s="2">
        <v>5.7138286079970797</v>
      </c>
      <c r="BU43" s="2">
        <v>5.7138286079970797</v>
      </c>
      <c r="BV43" s="2">
        <v>8.5707429119956107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708.514747391637</v>
      </c>
      <c r="CN43" s="2">
        <v>5.7138286079970797</v>
      </c>
      <c r="CO43" s="2">
        <v>5.7138286079970797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2.8569143039985399</v>
      </c>
      <c r="CY43" s="2">
        <v>0</v>
      </c>
      <c r="CZ43" s="2">
        <v>2574.07978790268</v>
      </c>
      <c r="DA43" s="2">
        <f t="shared" si="0"/>
        <v>0</v>
      </c>
      <c r="DB43" s="2">
        <f t="shared" si="1"/>
        <v>157.13028671992001</v>
      </c>
      <c r="DC43" s="2">
        <f t="shared" si="2"/>
        <v>514.24457471973699</v>
      </c>
      <c r="DD43" s="2">
        <f t="shared" si="3"/>
        <v>0</v>
      </c>
      <c r="DE43" s="2">
        <f t="shared" si="4"/>
        <v>237.123887231879</v>
      </c>
      <c r="DF43" s="2">
        <f t="shared" si="5"/>
        <v>1642.7257247991593</v>
      </c>
      <c r="DG43" s="2">
        <f t="shared" si="6"/>
        <v>2551.2244734706956</v>
      </c>
    </row>
    <row r="44" spans="1:111" x14ac:dyDescent="0.35">
      <c r="A44">
        <v>2014</v>
      </c>
      <c r="B44">
        <v>12</v>
      </c>
      <c r="C44">
        <v>107</v>
      </c>
      <c r="D44" s="1">
        <v>41877</v>
      </c>
      <c r="E44">
        <v>41.948999999999998</v>
      </c>
      <c r="F44">
        <v>-82.695666666666696</v>
      </c>
      <c r="G44">
        <v>41.955829999999999</v>
      </c>
      <c r="H44">
        <v>-82.691000000000003</v>
      </c>
      <c r="K44">
        <v>0.47</v>
      </c>
      <c r="L44">
        <v>2.9</v>
      </c>
      <c r="M44">
        <v>5</v>
      </c>
      <c r="R44">
        <v>10.8</v>
      </c>
      <c r="S44">
        <v>23.57</v>
      </c>
      <c r="T44">
        <v>9.74</v>
      </c>
      <c r="U44">
        <v>10</v>
      </c>
      <c r="AB44">
        <v>0.26113199999999998</v>
      </c>
      <c r="AC44">
        <v>8</v>
      </c>
      <c r="AD44">
        <v>26</v>
      </c>
      <c r="AE44" t="s">
        <v>106</v>
      </c>
      <c r="AF44" s="2">
        <v>0</v>
      </c>
      <c r="AG44" s="2">
        <v>0</v>
      </c>
      <c r="AH44" s="2">
        <v>0</v>
      </c>
      <c r="AI44" s="2">
        <v>11.4884426267175</v>
      </c>
      <c r="AJ44" s="2">
        <v>0</v>
      </c>
      <c r="AK44" s="2">
        <v>0</v>
      </c>
      <c r="AL44" s="2">
        <v>0</v>
      </c>
      <c r="AM44" s="2">
        <v>7.6589617511450196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5188.9465864007498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5208.0939907786096</v>
      </c>
      <c r="DA44" s="2">
        <f t="shared" si="0"/>
        <v>0</v>
      </c>
      <c r="DB44" s="2">
        <f t="shared" si="1"/>
        <v>11.4884426267175</v>
      </c>
      <c r="DC44" s="2">
        <f t="shared" si="2"/>
        <v>5188.9465864007498</v>
      </c>
      <c r="DD44" s="2">
        <f t="shared" si="3"/>
        <v>0</v>
      </c>
      <c r="DE44" s="2">
        <f t="shared" si="4"/>
        <v>7.6589617511450196</v>
      </c>
      <c r="DF44" s="2">
        <f t="shared" si="5"/>
        <v>0</v>
      </c>
      <c r="DG44" s="2">
        <f t="shared" si="6"/>
        <v>5208.0939907786124</v>
      </c>
    </row>
    <row r="45" spans="1:111" x14ac:dyDescent="0.35">
      <c r="A45">
        <v>2014</v>
      </c>
      <c r="B45">
        <v>12</v>
      </c>
      <c r="C45">
        <v>108</v>
      </c>
      <c r="D45" s="1">
        <v>41877</v>
      </c>
      <c r="E45">
        <v>41.9495</v>
      </c>
      <c r="F45">
        <v>-82.6965</v>
      </c>
      <c r="G45">
        <v>41.955829999999999</v>
      </c>
      <c r="H45">
        <v>-82.690330000000003</v>
      </c>
      <c r="K45">
        <v>0.47</v>
      </c>
      <c r="L45">
        <v>2.9</v>
      </c>
      <c r="M45">
        <v>2</v>
      </c>
      <c r="R45">
        <v>10.8</v>
      </c>
      <c r="S45">
        <v>23.6</v>
      </c>
      <c r="T45">
        <v>9.9</v>
      </c>
      <c r="U45">
        <v>10.8</v>
      </c>
      <c r="AB45">
        <v>0.26113199999999998</v>
      </c>
      <c r="AC45">
        <v>8</v>
      </c>
      <c r="AD45">
        <v>26</v>
      </c>
      <c r="AE45" t="s">
        <v>105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7.6589617511450196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11.4884426267175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3.8294808755725098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26.8063661290076</v>
      </c>
      <c r="DA45" s="2">
        <f t="shared" si="0"/>
        <v>0</v>
      </c>
      <c r="DB45" s="2">
        <f t="shared" si="1"/>
        <v>0</v>
      </c>
      <c r="DC45" s="2">
        <f t="shared" si="2"/>
        <v>11.4884426267175</v>
      </c>
      <c r="DD45" s="2">
        <f t="shared" si="3"/>
        <v>0</v>
      </c>
      <c r="DE45" s="2">
        <f t="shared" si="4"/>
        <v>7.6589617511450196</v>
      </c>
      <c r="DF45" s="2">
        <f t="shared" si="5"/>
        <v>0</v>
      </c>
      <c r="DG45" s="2">
        <f t="shared" si="6"/>
        <v>19.147404377862522</v>
      </c>
    </row>
    <row r="46" spans="1:111" x14ac:dyDescent="0.35">
      <c r="A46">
        <v>2014</v>
      </c>
      <c r="B46">
        <v>22</v>
      </c>
      <c r="C46">
        <v>109</v>
      </c>
      <c r="D46" s="1">
        <v>41877</v>
      </c>
      <c r="E46">
        <v>41.785166666666697</v>
      </c>
      <c r="F46">
        <v>-82.780333333333303</v>
      </c>
      <c r="G46">
        <v>41.793329999999997</v>
      </c>
      <c r="H46">
        <v>-82.780169999999998</v>
      </c>
      <c r="I46">
        <v>1.8</v>
      </c>
      <c r="J46">
        <v>1.8</v>
      </c>
      <c r="K46">
        <v>0.49</v>
      </c>
      <c r="M46">
        <v>7</v>
      </c>
      <c r="N46">
        <v>24.71</v>
      </c>
      <c r="O46">
        <v>9.69</v>
      </c>
      <c r="P46">
        <v>23.25</v>
      </c>
      <c r="Q46">
        <v>8.3800000000000008</v>
      </c>
      <c r="R46">
        <v>8.6</v>
      </c>
      <c r="S46">
        <v>23.7</v>
      </c>
      <c r="T46">
        <v>9.1999999999999993</v>
      </c>
      <c r="U46">
        <v>9.6999999999999993</v>
      </c>
      <c r="V46">
        <v>24.53</v>
      </c>
      <c r="W46">
        <v>9.5500000000000007</v>
      </c>
      <c r="X46">
        <v>23.22</v>
      </c>
      <c r="Y46">
        <v>8.9499999999999993</v>
      </c>
      <c r="AB46">
        <v>0.27224399999999999</v>
      </c>
      <c r="AC46">
        <v>8</v>
      </c>
      <c r="AD46">
        <v>26</v>
      </c>
      <c r="AE46" t="s">
        <v>106</v>
      </c>
      <c r="AF46" s="2">
        <v>0</v>
      </c>
      <c r="AG46" s="2">
        <v>0</v>
      </c>
      <c r="AH46" s="2">
        <v>0</v>
      </c>
      <c r="AI46" s="2">
        <v>110.195266011372</v>
      </c>
      <c r="AJ46" s="2">
        <v>0</v>
      </c>
      <c r="AK46" s="2">
        <v>0</v>
      </c>
      <c r="AL46" s="2">
        <v>0</v>
      </c>
      <c r="AM46" s="2">
        <v>44.078106404548898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3030.3698153127302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3184.64318772866</v>
      </c>
      <c r="DA46" s="2">
        <f t="shared" si="0"/>
        <v>0</v>
      </c>
      <c r="DB46" s="2">
        <f t="shared" si="1"/>
        <v>110.195266011372</v>
      </c>
      <c r="DC46" s="2">
        <f t="shared" si="2"/>
        <v>3030.3698153127302</v>
      </c>
      <c r="DD46" s="2">
        <f t="shared" si="3"/>
        <v>0</v>
      </c>
      <c r="DE46" s="2">
        <f t="shared" si="4"/>
        <v>44.078106404548898</v>
      </c>
      <c r="DF46" s="2">
        <f t="shared" si="5"/>
        <v>0</v>
      </c>
      <c r="DG46" s="2">
        <f t="shared" si="6"/>
        <v>3184.6431877286514</v>
      </c>
    </row>
    <row r="47" spans="1:111" x14ac:dyDescent="0.35">
      <c r="A47">
        <v>2014</v>
      </c>
      <c r="B47">
        <v>22</v>
      </c>
      <c r="C47">
        <v>110</v>
      </c>
      <c r="D47" s="1">
        <v>41877</v>
      </c>
      <c r="E47">
        <v>41.784500000000001</v>
      </c>
      <c r="F47">
        <v>-82.778166666666706</v>
      </c>
      <c r="G47">
        <v>41.79233</v>
      </c>
      <c r="H47">
        <v>-82.776169999999993</v>
      </c>
      <c r="K47">
        <v>0.49</v>
      </c>
      <c r="L47">
        <v>2.9</v>
      </c>
      <c r="M47">
        <v>8.6999999999999993</v>
      </c>
      <c r="R47">
        <v>8.6999999999999993</v>
      </c>
      <c r="S47">
        <v>23.25</v>
      </c>
      <c r="T47">
        <v>8.3800000000000008</v>
      </c>
      <c r="U47">
        <v>9.4</v>
      </c>
      <c r="AB47">
        <v>0.27224399999999999</v>
      </c>
      <c r="AC47">
        <v>8</v>
      </c>
      <c r="AD47">
        <v>26</v>
      </c>
      <c r="AE47" t="s">
        <v>104</v>
      </c>
      <c r="AF47" s="2">
        <v>0</v>
      </c>
      <c r="AG47" s="2">
        <v>0</v>
      </c>
      <c r="AH47" s="2">
        <v>0</v>
      </c>
      <c r="AI47" s="2">
        <v>44.078106404548898</v>
      </c>
      <c r="AJ47" s="2">
        <v>0</v>
      </c>
      <c r="AK47" s="2">
        <v>0</v>
      </c>
      <c r="AL47" s="2">
        <v>0</v>
      </c>
      <c r="AM47" s="2">
        <v>62.443984073110897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1179.0893463216801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146.927021348496</v>
      </c>
      <c r="BT47" s="2">
        <v>0</v>
      </c>
      <c r="BU47" s="2">
        <v>3.6731755337124099</v>
      </c>
      <c r="BV47" s="2">
        <v>11.0195266011372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14.692702134849601</v>
      </c>
      <c r="CN47" s="2">
        <v>0</v>
      </c>
      <c r="CO47" s="2">
        <v>0</v>
      </c>
      <c r="CP47" s="2">
        <v>0</v>
      </c>
      <c r="CQ47" s="2">
        <v>3.6731755337124099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1465.5970379512501</v>
      </c>
      <c r="DA47" s="2">
        <f t="shared" si="0"/>
        <v>0</v>
      </c>
      <c r="DB47" s="2">
        <f t="shared" si="1"/>
        <v>44.078106404548898</v>
      </c>
      <c r="DC47" s="2">
        <f t="shared" si="2"/>
        <v>1179.0893463216801</v>
      </c>
      <c r="DD47" s="2">
        <f t="shared" si="3"/>
        <v>0</v>
      </c>
      <c r="DE47" s="2">
        <f t="shared" si="4"/>
        <v>62.443984073110897</v>
      </c>
      <c r="DF47" s="2">
        <f t="shared" si="5"/>
        <v>165.29289901705803</v>
      </c>
      <c r="DG47" s="2">
        <f t="shared" si="6"/>
        <v>1450.9043358163979</v>
      </c>
    </row>
    <row r="48" spans="1:111" x14ac:dyDescent="0.35">
      <c r="A48">
        <v>2014</v>
      </c>
      <c r="B48">
        <v>22</v>
      </c>
      <c r="C48">
        <v>111</v>
      </c>
      <c r="D48" s="1">
        <v>41877</v>
      </c>
      <c r="E48">
        <v>41.785833333333301</v>
      </c>
      <c r="F48">
        <v>-82.779166666666697</v>
      </c>
      <c r="G48">
        <v>41.793170000000003</v>
      </c>
      <c r="H48">
        <v>-82.776830000000004</v>
      </c>
      <c r="K48">
        <v>0.46</v>
      </c>
      <c r="L48">
        <v>2.9</v>
      </c>
      <c r="M48">
        <v>2</v>
      </c>
      <c r="R48">
        <v>8.6999999999999993</v>
      </c>
      <c r="S48">
        <v>9.74</v>
      </c>
      <c r="T48">
        <v>11.7</v>
      </c>
      <c r="U48">
        <v>9.5</v>
      </c>
      <c r="AB48">
        <v>0.25557600000000003</v>
      </c>
      <c r="AC48">
        <v>8</v>
      </c>
      <c r="AD48">
        <v>26</v>
      </c>
      <c r="AE48" t="s">
        <v>105</v>
      </c>
      <c r="AF48" s="2">
        <v>0</v>
      </c>
      <c r="AG48" s="2">
        <v>0</v>
      </c>
      <c r="AH48" s="2">
        <v>0</v>
      </c>
      <c r="AI48" s="2">
        <v>74.341878736657605</v>
      </c>
      <c r="AJ48" s="2">
        <v>0</v>
      </c>
      <c r="AK48" s="2">
        <v>0</v>
      </c>
      <c r="AL48" s="2">
        <v>0</v>
      </c>
      <c r="AM48" s="2">
        <v>262.152940808214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4617.0219425924197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7.8254609196481697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4961.3422230569404</v>
      </c>
      <c r="DA48" s="2">
        <f t="shared" si="0"/>
        <v>0</v>
      </c>
      <c r="DB48" s="2">
        <f t="shared" si="1"/>
        <v>74.341878736657605</v>
      </c>
      <c r="DC48" s="2">
        <f t="shared" si="2"/>
        <v>4617.0219425924197</v>
      </c>
      <c r="DD48" s="2">
        <f t="shared" si="3"/>
        <v>0</v>
      </c>
      <c r="DE48" s="2">
        <f t="shared" si="4"/>
        <v>262.152940808214</v>
      </c>
      <c r="DF48" s="2">
        <f t="shared" si="5"/>
        <v>7.8254609196481697</v>
      </c>
      <c r="DG48" s="2">
        <f t="shared" si="6"/>
        <v>4961.3422230569395</v>
      </c>
    </row>
    <row r="49" spans="1:111" x14ac:dyDescent="0.35">
      <c r="A49">
        <v>2014</v>
      </c>
      <c r="B49">
        <v>1</v>
      </c>
      <c r="C49">
        <v>112</v>
      </c>
      <c r="D49" s="1">
        <v>41878</v>
      </c>
      <c r="E49">
        <v>41.997333333333302</v>
      </c>
      <c r="F49">
        <v>-83.061666666666696</v>
      </c>
      <c r="G49">
        <v>41.991999999999997</v>
      </c>
      <c r="H49">
        <v>-83.069670000000002</v>
      </c>
      <c r="I49">
        <v>1.3</v>
      </c>
      <c r="J49">
        <v>1.4</v>
      </c>
      <c r="K49">
        <v>0.49</v>
      </c>
      <c r="L49">
        <v>2.9</v>
      </c>
      <c r="M49">
        <v>6.2</v>
      </c>
      <c r="N49">
        <v>24.03</v>
      </c>
      <c r="O49">
        <v>8.9600000000000009</v>
      </c>
      <c r="P49">
        <v>24.01</v>
      </c>
      <c r="Q49">
        <v>8.83</v>
      </c>
      <c r="R49">
        <v>6.2</v>
      </c>
      <c r="S49">
        <v>24.01</v>
      </c>
      <c r="T49">
        <v>8.83</v>
      </c>
      <c r="U49">
        <v>6.6</v>
      </c>
      <c r="V49">
        <v>23.95</v>
      </c>
      <c r="W49">
        <v>8.9600000000000009</v>
      </c>
      <c r="X49">
        <v>23.84</v>
      </c>
      <c r="Y49">
        <v>8.9499999999999993</v>
      </c>
      <c r="AB49">
        <v>0.27224399999999999</v>
      </c>
      <c r="AC49">
        <v>8</v>
      </c>
      <c r="AD49">
        <v>27</v>
      </c>
      <c r="AE49" t="s">
        <v>104</v>
      </c>
      <c r="AF49" s="2">
        <v>0</v>
      </c>
      <c r="AG49" s="2">
        <v>0</v>
      </c>
      <c r="AH49" s="2">
        <v>0</v>
      </c>
      <c r="AI49" s="2">
        <v>14.692702134849601</v>
      </c>
      <c r="AJ49" s="2">
        <v>0</v>
      </c>
      <c r="AK49" s="2">
        <v>0</v>
      </c>
      <c r="AL49" s="2">
        <v>0</v>
      </c>
      <c r="AM49" s="2">
        <v>7.34635106742481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2277.3688309016902</v>
      </c>
      <c r="BD49" s="2">
        <v>0</v>
      </c>
      <c r="BE49" s="2">
        <v>3.6731755337124099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157.94654794963299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429.76153744435101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2890.7891450316602</v>
      </c>
      <c r="DA49" s="2">
        <f t="shared" si="0"/>
        <v>0</v>
      </c>
      <c r="DB49" s="2">
        <f t="shared" si="1"/>
        <v>14.692702134849601</v>
      </c>
      <c r="DC49" s="2">
        <f t="shared" si="2"/>
        <v>2277.3688309016902</v>
      </c>
      <c r="DD49" s="2">
        <f t="shared" si="3"/>
        <v>3.6731755337124099</v>
      </c>
      <c r="DE49" s="2">
        <f t="shared" si="4"/>
        <v>7.34635106742481</v>
      </c>
      <c r="DF49" s="2">
        <f t="shared" si="5"/>
        <v>157.94654794963299</v>
      </c>
      <c r="DG49" s="2">
        <f t="shared" si="6"/>
        <v>2461.0276075873098</v>
      </c>
    </row>
    <row r="50" spans="1:111" x14ac:dyDescent="0.35">
      <c r="A50">
        <v>2014</v>
      </c>
      <c r="B50">
        <v>1</v>
      </c>
      <c r="C50">
        <v>113</v>
      </c>
      <c r="D50" s="1">
        <v>41878</v>
      </c>
      <c r="E50">
        <v>41.998333333333299</v>
      </c>
      <c r="F50">
        <v>-83.058999999999997</v>
      </c>
      <c r="G50">
        <v>41.993000000000002</v>
      </c>
      <c r="H50">
        <v>-83.066829999999996</v>
      </c>
      <c r="I50">
        <v>1.3</v>
      </c>
      <c r="K50">
        <v>0.48</v>
      </c>
      <c r="L50">
        <v>2.9</v>
      </c>
      <c r="M50">
        <v>1</v>
      </c>
      <c r="N50">
        <v>24.03</v>
      </c>
      <c r="O50">
        <v>8.9600000000000009</v>
      </c>
      <c r="P50">
        <v>24.01</v>
      </c>
      <c r="Q50">
        <v>8.83</v>
      </c>
      <c r="R50">
        <v>6.2</v>
      </c>
      <c r="S50">
        <v>24.03</v>
      </c>
      <c r="T50">
        <v>8.9600000000000009</v>
      </c>
      <c r="U50">
        <v>6.6</v>
      </c>
      <c r="AB50">
        <v>0.26668799999999998</v>
      </c>
      <c r="AC50">
        <v>8</v>
      </c>
      <c r="AD50">
        <v>27</v>
      </c>
      <c r="AE50" t="s">
        <v>105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11.249100071994199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1503.6297096232299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14.9988000959923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116.24070074394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1646.1183105351599</v>
      </c>
      <c r="DA50" s="2">
        <f t="shared" si="0"/>
        <v>0</v>
      </c>
      <c r="DB50" s="2">
        <f t="shared" si="1"/>
        <v>0</v>
      </c>
      <c r="DC50" s="2">
        <f t="shared" si="2"/>
        <v>1503.6297096232299</v>
      </c>
      <c r="DD50" s="2">
        <f t="shared" si="3"/>
        <v>0</v>
      </c>
      <c r="DE50" s="2">
        <f t="shared" si="4"/>
        <v>11.249100071994199</v>
      </c>
      <c r="DF50" s="2">
        <f t="shared" si="5"/>
        <v>14.9988000959923</v>
      </c>
      <c r="DG50" s="2">
        <f t="shared" si="6"/>
        <v>1529.8776097912164</v>
      </c>
    </row>
    <row r="51" spans="1:111" x14ac:dyDescent="0.35">
      <c r="A51">
        <v>2014</v>
      </c>
      <c r="B51">
        <v>24</v>
      </c>
      <c r="C51">
        <v>114</v>
      </c>
      <c r="D51" s="1">
        <v>41878</v>
      </c>
      <c r="E51">
        <v>41.948</v>
      </c>
      <c r="F51">
        <v>-82.986500000000007</v>
      </c>
      <c r="G51">
        <v>41.942999999999998</v>
      </c>
      <c r="H51">
        <v>-82.994169999999997</v>
      </c>
      <c r="I51">
        <v>2.4</v>
      </c>
      <c r="J51">
        <v>2.4</v>
      </c>
      <c r="K51">
        <v>0.46</v>
      </c>
      <c r="L51">
        <v>2.9</v>
      </c>
      <c r="M51">
        <v>9</v>
      </c>
      <c r="N51">
        <v>23.97</v>
      </c>
      <c r="O51">
        <v>8.92</v>
      </c>
      <c r="P51">
        <v>23.15</v>
      </c>
      <c r="Q51">
        <v>7.77</v>
      </c>
      <c r="R51">
        <v>9</v>
      </c>
      <c r="S51">
        <v>23.15</v>
      </c>
      <c r="T51">
        <v>7.77</v>
      </c>
      <c r="V51">
        <v>23.82</v>
      </c>
      <c r="W51">
        <v>8.14</v>
      </c>
      <c r="X51">
        <v>23.8</v>
      </c>
      <c r="Y51">
        <v>7.46</v>
      </c>
      <c r="Z51">
        <v>23.8</v>
      </c>
      <c r="AA51">
        <v>7.46</v>
      </c>
      <c r="AB51">
        <v>0.25557600000000003</v>
      </c>
      <c r="AC51">
        <v>8</v>
      </c>
      <c r="AD51">
        <v>27</v>
      </c>
      <c r="AE51" t="s">
        <v>104</v>
      </c>
      <c r="AF51" s="2">
        <v>0</v>
      </c>
      <c r="AG51" s="2">
        <v>0</v>
      </c>
      <c r="AH51" s="2">
        <v>0</v>
      </c>
      <c r="AI51" s="2">
        <v>649.51325633079796</v>
      </c>
      <c r="AJ51" s="2">
        <v>0</v>
      </c>
      <c r="AK51" s="2">
        <v>0</v>
      </c>
      <c r="AL51" s="2">
        <v>0</v>
      </c>
      <c r="AM51" s="2">
        <v>3.91273045982408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35.214574138416801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414.74942874135297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7011.6129840047597</v>
      </c>
      <c r="CN51" s="2">
        <v>7.8254609196481697</v>
      </c>
      <c r="CO51" s="2">
        <v>7.8254609196481697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8130.6538955144497</v>
      </c>
      <c r="DA51" s="2">
        <f t="shared" si="0"/>
        <v>0</v>
      </c>
      <c r="DB51" s="2">
        <f t="shared" si="1"/>
        <v>649.51325633079796</v>
      </c>
      <c r="DC51" s="2">
        <f t="shared" si="2"/>
        <v>35.214574138416801</v>
      </c>
      <c r="DD51" s="2">
        <f t="shared" si="3"/>
        <v>0</v>
      </c>
      <c r="DE51" s="2">
        <f t="shared" si="4"/>
        <v>3.91273045982408</v>
      </c>
      <c r="DF51" s="2">
        <f t="shared" si="5"/>
        <v>7434.1878736657609</v>
      </c>
      <c r="DG51" s="2">
        <f t="shared" si="6"/>
        <v>8122.8284345947995</v>
      </c>
    </row>
    <row r="52" spans="1:111" x14ac:dyDescent="0.35">
      <c r="A52">
        <v>2014</v>
      </c>
      <c r="B52">
        <v>24</v>
      </c>
      <c r="C52">
        <v>115</v>
      </c>
      <c r="D52" s="1">
        <v>41878</v>
      </c>
      <c r="E52">
        <v>41.9493333333333</v>
      </c>
      <c r="F52">
        <v>-82.983999999999995</v>
      </c>
      <c r="G52">
        <v>41.943170000000002</v>
      </c>
      <c r="H52">
        <v>-82.990669999999994</v>
      </c>
      <c r="I52">
        <v>2.4</v>
      </c>
      <c r="K52">
        <v>0.49</v>
      </c>
      <c r="L52">
        <v>2.9</v>
      </c>
      <c r="M52">
        <v>3</v>
      </c>
      <c r="N52">
        <v>23.97</v>
      </c>
      <c r="O52">
        <v>8.92</v>
      </c>
      <c r="P52">
        <v>23.8</v>
      </c>
      <c r="Q52">
        <v>7.77</v>
      </c>
      <c r="R52">
        <v>9</v>
      </c>
      <c r="S52">
        <v>23.8</v>
      </c>
      <c r="T52">
        <v>8.92</v>
      </c>
      <c r="U52">
        <v>9.1</v>
      </c>
      <c r="W52">
        <v>8.14</v>
      </c>
      <c r="Z52">
        <v>23.8</v>
      </c>
      <c r="AA52">
        <v>8.14</v>
      </c>
      <c r="AB52">
        <v>0.27224399999999999</v>
      </c>
      <c r="AC52">
        <v>8</v>
      </c>
      <c r="AD52">
        <v>27</v>
      </c>
      <c r="AE52" t="s">
        <v>106</v>
      </c>
      <c r="AF52" s="2">
        <v>0</v>
      </c>
      <c r="AG52" s="2">
        <v>0</v>
      </c>
      <c r="AH52" s="2">
        <v>0</v>
      </c>
      <c r="AI52" s="2">
        <v>58.770808539398502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1219.49427719252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1278.26508573192</v>
      </c>
      <c r="DA52" s="2">
        <f t="shared" si="0"/>
        <v>0</v>
      </c>
      <c r="DB52" s="2">
        <f t="shared" si="1"/>
        <v>58.770808539398502</v>
      </c>
      <c r="DC52" s="2">
        <f t="shared" si="2"/>
        <v>1219.49427719252</v>
      </c>
      <c r="DD52" s="2">
        <f t="shared" si="3"/>
        <v>0</v>
      </c>
      <c r="DE52" s="2">
        <f t="shared" si="4"/>
        <v>0</v>
      </c>
      <c r="DF52" s="2">
        <f t="shared" si="5"/>
        <v>0</v>
      </c>
      <c r="DG52" s="2">
        <f t="shared" si="6"/>
        <v>1278.2650857319186</v>
      </c>
    </row>
    <row r="53" spans="1:111" x14ac:dyDescent="0.35">
      <c r="A53">
        <v>2014</v>
      </c>
      <c r="B53">
        <v>24</v>
      </c>
      <c r="C53">
        <v>116</v>
      </c>
      <c r="D53" s="1">
        <v>41878</v>
      </c>
      <c r="E53">
        <v>41.947499999999998</v>
      </c>
      <c r="F53">
        <v>-82.984333333333296</v>
      </c>
      <c r="G53">
        <v>41.940829999999998</v>
      </c>
      <c r="H53">
        <v>-82.988829999999993</v>
      </c>
      <c r="I53">
        <v>2.4</v>
      </c>
      <c r="K53">
        <v>0.47</v>
      </c>
      <c r="L53">
        <v>2.9</v>
      </c>
      <c r="M53">
        <v>0.1</v>
      </c>
      <c r="N53">
        <v>23.97</v>
      </c>
      <c r="O53">
        <v>8.92</v>
      </c>
      <c r="P53">
        <v>23.82</v>
      </c>
      <c r="Q53">
        <v>7.77</v>
      </c>
      <c r="R53">
        <v>9.1999999999999993</v>
      </c>
      <c r="S53">
        <v>23.97</v>
      </c>
      <c r="T53">
        <v>8.92</v>
      </c>
      <c r="U53">
        <v>9.1999999999999993</v>
      </c>
      <c r="W53">
        <v>8.14</v>
      </c>
      <c r="Z53">
        <v>23.8</v>
      </c>
      <c r="AA53">
        <v>8.14</v>
      </c>
      <c r="AB53">
        <v>0.26113199999999998</v>
      </c>
      <c r="AC53">
        <v>8</v>
      </c>
      <c r="AD53">
        <v>27</v>
      </c>
      <c r="AE53" t="s">
        <v>105</v>
      </c>
      <c r="AF53" s="2">
        <v>0</v>
      </c>
      <c r="AG53" s="2">
        <v>0</v>
      </c>
      <c r="AH53" s="2">
        <v>0</v>
      </c>
      <c r="AI53" s="2">
        <v>114.884426267175</v>
      </c>
      <c r="AJ53" s="2">
        <v>0</v>
      </c>
      <c r="AK53" s="2">
        <v>0</v>
      </c>
      <c r="AL53" s="2">
        <v>0</v>
      </c>
      <c r="AM53" s="2">
        <v>7.6589617511450196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8551.2307951534094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8673.7741831717303</v>
      </c>
      <c r="DA53" s="2">
        <f t="shared" si="0"/>
        <v>0</v>
      </c>
      <c r="DB53" s="2">
        <f t="shared" si="1"/>
        <v>114.884426267175</v>
      </c>
      <c r="DC53" s="2">
        <f t="shared" si="2"/>
        <v>8551.2307951534094</v>
      </c>
      <c r="DD53" s="2">
        <f t="shared" si="3"/>
        <v>0</v>
      </c>
      <c r="DE53" s="2">
        <f t="shared" si="4"/>
        <v>7.6589617511450196</v>
      </c>
      <c r="DF53" s="2">
        <f t="shared" si="5"/>
        <v>0</v>
      </c>
      <c r="DG53" s="2">
        <f t="shared" si="6"/>
        <v>8673.7741831717303</v>
      </c>
    </row>
    <row r="54" spans="1:111" x14ac:dyDescent="0.35">
      <c r="A54">
        <v>2014</v>
      </c>
      <c r="B54">
        <v>8</v>
      </c>
      <c r="C54">
        <v>117</v>
      </c>
      <c r="D54" s="1">
        <v>41878</v>
      </c>
      <c r="E54">
        <v>41.822000000000003</v>
      </c>
      <c r="F54">
        <v>-82.899666666666704</v>
      </c>
      <c r="G54">
        <v>41.817</v>
      </c>
      <c r="H54">
        <v>-82.907499999999999</v>
      </c>
      <c r="I54">
        <v>3.7</v>
      </c>
      <c r="J54">
        <v>4</v>
      </c>
      <c r="K54">
        <v>0.46</v>
      </c>
      <c r="L54">
        <v>2.7</v>
      </c>
      <c r="M54">
        <v>10.4</v>
      </c>
      <c r="N54">
        <v>23.96</v>
      </c>
      <c r="O54">
        <v>8.25</v>
      </c>
      <c r="P54">
        <v>22.41</v>
      </c>
      <c r="Q54">
        <v>6.83</v>
      </c>
      <c r="R54">
        <v>10.4</v>
      </c>
      <c r="U54">
        <v>10</v>
      </c>
      <c r="V54">
        <v>24.02</v>
      </c>
      <c r="W54">
        <v>7.83</v>
      </c>
      <c r="X54">
        <v>22.58</v>
      </c>
      <c r="Y54">
        <v>6.81</v>
      </c>
      <c r="AB54">
        <v>0.25557600000000003</v>
      </c>
      <c r="AC54">
        <v>8</v>
      </c>
      <c r="AD54">
        <v>27</v>
      </c>
      <c r="AE54" t="s">
        <v>104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11.7381913794722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183.898331611732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246.50201896891701</v>
      </c>
      <c r="CN54" s="2">
        <v>0</v>
      </c>
      <c r="CO54" s="2">
        <v>3.91273045982408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446.05127241994597</v>
      </c>
      <c r="DA54" s="2">
        <f t="shared" si="0"/>
        <v>0</v>
      </c>
      <c r="DB54" s="2">
        <f t="shared" si="1"/>
        <v>0</v>
      </c>
      <c r="DC54" s="2">
        <f t="shared" si="2"/>
        <v>11.7381913794722</v>
      </c>
      <c r="DD54" s="2">
        <f t="shared" si="3"/>
        <v>0</v>
      </c>
      <c r="DE54" s="2">
        <f t="shared" si="4"/>
        <v>0</v>
      </c>
      <c r="DF54" s="2">
        <f t="shared" si="5"/>
        <v>434.31308104047315</v>
      </c>
      <c r="DG54" s="2">
        <f t="shared" si="6"/>
        <v>446.05127241994535</v>
      </c>
    </row>
    <row r="55" spans="1:111" x14ac:dyDescent="0.35">
      <c r="A55">
        <v>2014</v>
      </c>
      <c r="B55">
        <v>8</v>
      </c>
      <c r="C55">
        <v>118</v>
      </c>
      <c r="D55" s="1">
        <v>41878</v>
      </c>
      <c r="E55">
        <v>41.822000000000003</v>
      </c>
      <c r="F55">
        <v>-82.902666666666704</v>
      </c>
      <c r="G55">
        <v>41.817999999999998</v>
      </c>
      <c r="H55">
        <v>-82.911169999999998</v>
      </c>
      <c r="K55">
        <v>0.46</v>
      </c>
      <c r="L55">
        <v>2.9</v>
      </c>
      <c r="M55">
        <v>5</v>
      </c>
      <c r="R55">
        <v>10.5</v>
      </c>
      <c r="AB55">
        <v>0.25557600000000003</v>
      </c>
      <c r="AC55">
        <v>8</v>
      </c>
      <c r="AD55">
        <v>27</v>
      </c>
      <c r="AE55" t="s">
        <v>106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3.91273045982408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3.91273045982408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7.8254609196481697</v>
      </c>
      <c r="DA55" s="2">
        <f t="shared" si="0"/>
        <v>0</v>
      </c>
      <c r="DB55" s="2">
        <f t="shared" si="1"/>
        <v>0</v>
      </c>
      <c r="DC55" s="2">
        <f t="shared" si="2"/>
        <v>0</v>
      </c>
      <c r="DD55" s="2">
        <f t="shared" si="3"/>
        <v>0</v>
      </c>
      <c r="DE55" s="2">
        <f t="shared" si="4"/>
        <v>3.91273045982408</v>
      </c>
      <c r="DF55" s="2">
        <f t="shared" si="5"/>
        <v>0</v>
      </c>
      <c r="DG55" s="2">
        <f t="shared" si="6"/>
        <v>3.91273045982408</v>
      </c>
    </row>
    <row r="56" spans="1:111" x14ac:dyDescent="0.35">
      <c r="A56">
        <v>2014</v>
      </c>
      <c r="B56">
        <v>8</v>
      </c>
      <c r="C56">
        <v>119</v>
      </c>
      <c r="D56" s="1">
        <v>41878</v>
      </c>
      <c r="E56">
        <v>41.818833333333302</v>
      </c>
      <c r="F56">
        <v>-82.910499999999999</v>
      </c>
      <c r="G56">
        <v>41.823169999999998</v>
      </c>
      <c r="H56">
        <v>-82.902169999999998</v>
      </c>
      <c r="K56">
        <v>0.46</v>
      </c>
      <c r="L56">
        <v>2.9</v>
      </c>
      <c r="M56">
        <v>2</v>
      </c>
      <c r="R56">
        <v>10.3</v>
      </c>
      <c r="U56">
        <v>10.3</v>
      </c>
      <c r="AB56">
        <v>0.25557600000000003</v>
      </c>
      <c r="AC56">
        <v>8</v>
      </c>
      <c r="AD56">
        <v>27</v>
      </c>
      <c r="AE56" t="s">
        <v>105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3.91273045982408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3.91273045982408</v>
      </c>
      <c r="DA56" s="2">
        <f t="shared" si="0"/>
        <v>0</v>
      </c>
      <c r="DB56" s="2">
        <f t="shared" si="1"/>
        <v>0</v>
      </c>
      <c r="DC56" s="2">
        <f t="shared" si="2"/>
        <v>3.91273045982408</v>
      </c>
      <c r="DD56" s="2">
        <f t="shared" si="3"/>
        <v>0</v>
      </c>
      <c r="DE56" s="2">
        <f t="shared" si="4"/>
        <v>0</v>
      </c>
      <c r="DF56" s="2">
        <f t="shared" si="5"/>
        <v>0</v>
      </c>
      <c r="DG56" s="2">
        <f t="shared" si="6"/>
        <v>3.91273045982408</v>
      </c>
    </row>
    <row r="57" spans="1:111" x14ac:dyDescent="0.35">
      <c r="A57">
        <v>2015</v>
      </c>
      <c r="B57">
        <v>18</v>
      </c>
      <c r="C57">
        <v>101</v>
      </c>
      <c r="D57" s="1">
        <v>42240</v>
      </c>
      <c r="E57">
        <v>41.6995</v>
      </c>
      <c r="F57">
        <v>-82.549833333333297</v>
      </c>
      <c r="G57">
        <v>41.702669999999998</v>
      </c>
      <c r="H57">
        <v>-82.542330000000007</v>
      </c>
      <c r="I57">
        <v>1.8</v>
      </c>
      <c r="J57">
        <v>1.8</v>
      </c>
      <c r="K57">
        <v>0.51</v>
      </c>
      <c r="L57">
        <v>3.1</v>
      </c>
      <c r="M57">
        <v>5</v>
      </c>
      <c r="N57">
        <v>23.89</v>
      </c>
      <c r="O57">
        <v>8.11</v>
      </c>
      <c r="P57">
        <v>23.9</v>
      </c>
      <c r="Q57">
        <v>7.85</v>
      </c>
      <c r="R57">
        <v>12.7</v>
      </c>
      <c r="S57">
        <v>23.91</v>
      </c>
      <c r="T57">
        <v>8.0500000000000007</v>
      </c>
      <c r="U57">
        <v>12.7</v>
      </c>
      <c r="V57">
        <v>23.78</v>
      </c>
      <c r="W57">
        <v>8.43</v>
      </c>
      <c r="X57">
        <v>23.82</v>
      </c>
      <c r="Y57">
        <v>8.01</v>
      </c>
      <c r="Z57">
        <v>23.8</v>
      </c>
      <c r="AA57">
        <v>8.18</v>
      </c>
      <c r="AB57">
        <v>0.283356</v>
      </c>
      <c r="AC57">
        <v>8</v>
      </c>
      <c r="AD57">
        <v>24</v>
      </c>
      <c r="AE57" t="s">
        <v>105</v>
      </c>
      <c r="AF57" s="2">
        <v>0</v>
      </c>
      <c r="AG57" s="2">
        <v>0</v>
      </c>
      <c r="AH57" s="2">
        <v>0</v>
      </c>
      <c r="AI57" s="2">
        <v>448.19943816259399</v>
      </c>
      <c r="AJ57" s="2">
        <v>0</v>
      </c>
      <c r="AK57" s="2">
        <v>0</v>
      </c>
      <c r="AL57" s="2">
        <v>0</v>
      </c>
      <c r="AM57" s="2">
        <v>7.0582588687022696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614.06852157709704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1069.32621860839</v>
      </c>
      <c r="DA57" s="2">
        <f t="shared" si="0"/>
        <v>0</v>
      </c>
      <c r="DB57" s="2">
        <f t="shared" si="1"/>
        <v>448.19943816259399</v>
      </c>
      <c r="DC57" s="2">
        <f t="shared" si="2"/>
        <v>614.06852157709704</v>
      </c>
      <c r="DD57" s="2">
        <f t="shared" si="3"/>
        <v>0</v>
      </c>
      <c r="DE57" s="2">
        <f t="shared" si="4"/>
        <v>7.0582588687022696</v>
      </c>
      <c r="DF57" s="2">
        <f t="shared" si="5"/>
        <v>0</v>
      </c>
      <c r="DG57" s="2">
        <f t="shared" si="6"/>
        <v>1069.3262186083932</v>
      </c>
    </row>
    <row r="58" spans="1:111" x14ac:dyDescent="0.35">
      <c r="A58">
        <v>2015</v>
      </c>
      <c r="B58">
        <v>18</v>
      </c>
      <c r="C58">
        <v>102</v>
      </c>
      <c r="D58" s="1">
        <v>42240</v>
      </c>
      <c r="E58">
        <v>41.703333333333298</v>
      </c>
      <c r="F58">
        <v>-82.545000000000002</v>
      </c>
      <c r="G58">
        <v>41.70617</v>
      </c>
      <c r="H58">
        <v>-82.534329999999997</v>
      </c>
      <c r="I58">
        <v>1.8</v>
      </c>
      <c r="J58">
        <v>1.8</v>
      </c>
      <c r="K58">
        <v>0.51</v>
      </c>
      <c r="L58">
        <v>3.1</v>
      </c>
      <c r="M58">
        <v>9</v>
      </c>
      <c r="N58">
        <v>23.89</v>
      </c>
      <c r="O58">
        <v>8.11</v>
      </c>
      <c r="P58">
        <v>23.9</v>
      </c>
      <c r="Q58">
        <v>7.85</v>
      </c>
      <c r="R58">
        <v>12.7</v>
      </c>
      <c r="S58">
        <v>23.9</v>
      </c>
      <c r="T58">
        <v>7.97</v>
      </c>
      <c r="U58">
        <v>12.8</v>
      </c>
      <c r="V58">
        <v>23.78</v>
      </c>
      <c r="W58">
        <v>8.43</v>
      </c>
      <c r="X58">
        <v>23.82</v>
      </c>
      <c r="Y58">
        <v>8.01</v>
      </c>
      <c r="Z58">
        <v>23.8</v>
      </c>
      <c r="AA58">
        <v>8.1</v>
      </c>
      <c r="AB58">
        <v>0.283356</v>
      </c>
      <c r="AC58">
        <v>8</v>
      </c>
      <c r="AD58">
        <v>24</v>
      </c>
      <c r="AE58" t="s">
        <v>106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70.582588687022707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91.757365293129496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162.33995398015199</v>
      </c>
      <c r="DA58" s="2">
        <f t="shared" si="0"/>
        <v>0</v>
      </c>
      <c r="DB58" s="2">
        <f t="shared" si="1"/>
        <v>0</v>
      </c>
      <c r="DC58" s="2">
        <f t="shared" si="2"/>
        <v>91.757365293129496</v>
      </c>
      <c r="DD58" s="2">
        <f t="shared" si="3"/>
        <v>0</v>
      </c>
      <c r="DE58" s="2">
        <f t="shared" si="4"/>
        <v>70.582588687022707</v>
      </c>
      <c r="DF58" s="2">
        <f t="shared" si="5"/>
        <v>0</v>
      </c>
      <c r="DG58" s="2">
        <f t="shared" si="6"/>
        <v>162.33995398015219</v>
      </c>
    </row>
    <row r="59" spans="1:111" x14ac:dyDescent="0.35">
      <c r="A59">
        <v>2015</v>
      </c>
      <c r="B59">
        <v>18</v>
      </c>
      <c r="C59">
        <v>103</v>
      </c>
      <c r="D59" s="1">
        <v>42240</v>
      </c>
      <c r="E59">
        <v>41.7008333333333</v>
      </c>
      <c r="F59">
        <v>-82.545333333333303</v>
      </c>
      <c r="G59">
        <v>41.704169999999998</v>
      </c>
      <c r="H59">
        <v>-82.534829999999999</v>
      </c>
      <c r="I59">
        <v>1.8</v>
      </c>
      <c r="J59">
        <v>1.8</v>
      </c>
      <c r="K59">
        <v>0.5</v>
      </c>
      <c r="L59">
        <v>3.1</v>
      </c>
      <c r="M59">
        <v>12.7</v>
      </c>
      <c r="N59">
        <v>23.89</v>
      </c>
      <c r="O59">
        <v>8.11</v>
      </c>
      <c r="P59">
        <v>23.9</v>
      </c>
      <c r="Q59">
        <v>7.85</v>
      </c>
      <c r="R59">
        <v>12.7</v>
      </c>
      <c r="S59">
        <v>23.9</v>
      </c>
      <c r="T59">
        <v>7.85</v>
      </c>
      <c r="V59">
        <v>23.78</v>
      </c>
      <c r="W59">
        <v>8.43</v>
      </c>
      <c r="X59">
        <v>23.82</v>
      </c>
      <c r="Y59">
        <v>8.01</v>
      </c>
      <c r="Z59">
        <v>23.8</v>
      </c>
      <c r="AA59">
        <v>8.01</v>
      </c>
      <c r="AB59">
        <v>0.27779999999999999</v>
      </c>
      <c r="AC59">
        <v>8</v>
      </c>
      <c r="AD59">
        <v>24</v>
      </c>
      <c r="AE59" t="s">
        <v>104</v>
      </c>
      <c r="AF59" s="2">
        <v>0</v>
      </c>
      <c r="AG59" s="2">
        <v>0</v>
      </c>
      <c r="AH59" s="2">
        <v>0</v>
      </c>
      <c r="AI59" s="2">
        <v>39.596832253419699</v>
      </c>
      <c r="AJ59" s="2">
        <v>0</v>
      </c>
      <c r="AK59" s="2">
        <v>0</v>
      </c>
      <c r="AL59" s="2">
        <v>0</v>
      </c>
      <c r="AM59" s="2">
        <v>53.995680345572403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8340.5327573794093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14.398848092152599</v>
      </c>
      <c r="CO59" s="2">
        <v>28.797696184305298</v>
      </c>
      <c r="CP59" s="2">
        <v>3.5997120230381601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8480.9215262778998</v>
      </c>
      <c r="DA59" s="2">
        <f t="shared" si="0"/>
        <v>0</v>
      </c>
      <c r="DB59" s="2">
        <f t="shared" si="1"/>
        <v>39.596832253419699</v>
      </c>
      <c r="DC59" s="2">
        <f t="shared" si="2"/>
        <v>8340.5327573794093</v>
      </c>
      <c r="DD59" s="2">
        <f t="shared" si="3"/>
        <v>0</v>
      </c>
      <c r="DE59" s="2">
        <f t="shared" si="4"/>
        <v>53.995680345572403</v>
      </c>
      <c r="DF59" s="2">
        <f t="shared" si="5"/>
        <v>28.797696184305298</v>
      </c>
      <c r="DG59" s="2">
        <f t="shared" si="6"/>
        <v>8462.9229661627051</v>
      </c>
    </row>
    <row r="60" spans="1:111" x14ac:dyDescent="0.35">
      <c r="A60">
        <v>2015</v>
      </c>
      <c r="B60">
        <v>19</v>
      </c>
      <c r="C60">
        <v>104</v>
      </c>
      <c r="D60" s="1">
        <v>42241</v>
      </c>
      <c r="E60">
        <v>42.003</v>
      </c>
      <c r="F60">
        <v>-82.582666666666697</v>
      </c>
      <c r="G60">
        <v>42.001170000000002</v>
      </c>
      <c r="H60">
        <v>-82.571830000000006</v>
      </c>
      <c r="I60">
        <v>1.2</v>
      </c>
      <c r="J60">
        <v>1</v>
      </c>
      <c r="K60">
        <v>0.5</v>
      </c>
      <c r="L60">
        <v>3</v>
      </c>
      <c r="M60">
        <v>5</v>
      </c>
      <c r="N60">
        <v>23.89</v>
      </c>
      <c r="O60">
        <v>8.11</v>
      </c>
      <c r="P60">
        <v>23.9</v>
      </c>
      <c r="Q60">
        <v>7.85</v>
      </c>
      <c r="R60">
        <v>8.6999999999999993</v>
      </c>
      <c r="S60">
        <v>23.91</v>
      </c>
      <c r="T60">
        <v>8.0500000000000007</v>
      </c>
      <c r="U60">
        <v>7.6</v>
      </c>
      <c r="V60">
        <v>23.78</v>
      </c>
      <c r="W60">
        <v>8.43</v>
      </c>
      <c r="X60">
        <v>23.82</v>
      </c>
      <c r="Y60">
        <v>8.01</v>
      </c>
      <c r="Z60">
        <v>23.8</v>
      </c>
      <c r="AA60">
        <v>8.18</v>
      </c>
      <c r="AB60">
        <v>0.27779999999999999</v>
      </c>
      <c r="AC60">
        <v>8</v>
      </c>
      <c r="AD60">
        <v>25</v>
      </c>
      <c r="AE60" t="s">
        <v>105</v>
      </c>
      <c r="AF60" s="2">
        <v>0</v>
      </c>
      <c r="AG60" s="2">
        <v>0</v>
      </c>
      <c r="AH60" s="2">
        <v>0</v>
      </c>
      <c r="AI60" s="2">
        <v>28.797696184305298</v>
      </c>
      <c r="AJ60" s="2">
        <v>0</v>
      </c>
      <c r="AK60" s="2">
        <v>0</v>
      </c>
      <c r="AL60" s="2">
        <v>0</v>
      </c>
      <c r="AM60" s="2">
        <v>1850.2519798416099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32.397408207343403</v>
      </c>
      <c r="AZ60" s="2">
        <v>0</v>
      </c>
      <c r="BA60" s="2">
        <v>0</v>
      </c>
      <c r="BB60" s="2">
        <v>0</v>
      </c>
      <c r="BC60" s="2">
        <v>961.12311015118803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7.1994240460763104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46.796256299496001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3030.95752339813</v>
      </c>
      <c r="DA60" s="2">
        <f t="shared" si="0"/>
        <v>0</v>
      </c>
      <c r="DB60" s="2">
        <f t="shared" si="1"/>
        <v>28.797696184305298</v>
      </c>
      <c r="DC60" s="2">
        <f t="shared" si="2"/>
        <v>961.12311015118803</v>
      </c>
      <c r="DD60" s="2">
        <f t="shared" si="3"/>
        <v>0</v>
      </c>
      <c r="DE60" s="2">
        <f t="shared" si="4"/>
        <v>1850.2519798416099</v>
      </c>
      <c r="DF60" s="2">
        <f t="shared" si="5"/>
        <v>7.1994240460763104</v>
      </c>
      <c r="DG60" s="2">
        <f t="shared" si="6"/>
        <v>2847.3722102231795</v>
      </c>
    </row>
    <row r="61" spans="1:111" x14ac:dyDescent="0.35">
      <c r="A61">
        <v>2015</v>
      </c>
      <c r="B61">
        <v>19</v>
      </c>
      <c r="C61">
        <v>105</v>
      </c>
      <c r="D61" s="1">
        <v>42244</v>
      </c>
      <c r="E61">
        <v>42.0058333333333</v>
      </c>
      <c r="F61">
        <v>-82.5893333333333</v>
      </c>
      <c r="G61">
        <v>42.005330000000001</v>
      </c>
      <c r="H61">
        <v>-82.578000000000003</v>
      </c>
      <c r="I61">
        <v>1.2</v>
      </c>
      <c r="J61">
        <v>1</v>
      </c>
      <c r="K61">
        <v>0.5</v>
      </c>
      <c r="L61">
        <v>3</v>
      </c>
      <c r="M61">
        <v>7</v>
      </c>
      <c r="N61">
        <v>23.89</v>
      </c>
      <c r="O61">
        <v>8.11</v>
      </c>
      <c r="P61">
        <v>23.9</v>
      </c>
      <c r="Q61">
        <v>7.85</v>
      </c>
      <c r="R61">
        <v>8.6</v>
      </c>
      <c r="S61">
        <v>23.91</v>
      </c>
      <c r="T61">
        <v>8.0299999999999994</v>
      </c>
      <c r="U61">
        <v>7.7</v>
      </c>
      <c r="V61">
        <v>23.78</v>
      </c>
      <c r="W61">
        <v>8.43</v>
      </c>
      <c r="X61">
        <v>23.82</v>
      </c>
      <c r="Y61">
        <v>8.01</v>
      </c>
      <c r="Z61">
        <v>23.8</v>
      </c>
      <c r="AA61">
        <v>8.1300000000000008</v>
      </c>
      <c r="AB61">
        <v>0.27779999999999999</v>
      </c>
      <c r="AC61">
        <v>8</v>
      </c>
      <c r="AD61">
        <v>28</v>
      </c>
      <c r="AE61" t="s">
        <v>106</v>
      </c>
      <c r="AF61" s="2">
        <v>0</v>
      </c>
      <c r="AG61" s="2">
        <v>0</v>
      </c>
      <c r="AH61" s="2">
        <v>0</v>
      </c>
      <c r="AI61" s="2">
        <v>122.390208783297</v>
      </c>
      <c r="AJ61" s="2">
        <v>0</v>
      </c>
      <c r="AK61" s="2">
        <v>0</v>
      </c>
      <c r="AL61" s="2">
        <v>0</v>
      </c>
      <c r="AM61" s="2">
        <v>896.328293736501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475.16198704103698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7.1994240460763104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25.197984161267101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1533.47732181425</v>
      </c>
      <c r="DA61" s="2">
        <f t="shared" si="0"/>
        <v>0</v>
      </c>
      <c r="DB61" s="2">
        <f t="shared" si="1"/>
        <v>122.390208783297</v>
      </c>
      <c r="DC61" s="2">
        <f t="shared" si="2"/>
        <v>475.16198704103698</v>
      </c>
      <c r="DD61" s="2">
        <f t="shared" si="3"/>
        <v>0</v>
      </c>
      <c r="DE61" s="2">
        <f t="shared" si="4"/>
        <v>896.328293736501</v>
      </c>
      <c r="DF61" s="2">
        <f t="shared" si="5"/>
        <v>7.1994240460763104</v>
      </c>
      <c r="DG61" s="2">
        <f t="shared" si="6"/>
        <v>1501.0799136069113</v>
      </c>
    </row>
    <row r="62" spans="1:111" x14ac:dyDescent="0.35">
      <c r="A62">
        <v>2015</v>
      </c>
      <c r="B62">
        <v>19</v>
      </c>
      <c r="C62">
        <v>106</v>
      </c>
      <c r="D62" s="1">
        <v>42241</v>
      </c>
      <c r="E62">
        <v>42.006</v>
      </c>
      <c r="F62">
        <v>-82.594333333333296</v>
      </c>
      <c r="G62">
        <v>42.006329999999998</v>
      </c>
      <c r="H62">
        <v>-82.583330000000004</v>
      </c>
      <c r="I62">
        <v>1.2</v>
      </c>
      <c r="J62">
        <v>1</v>
      </c>
      <c r="K62">
        <v>0.51</v>
      </c>
      <c r="L62">
        <v>3</v>
      </c>
      <c r="M62">
        <v>8.6999999999999993</v>
      </c>
      <c r="N62">
        <v>23.89</v>
      </c>
      <c r="O62">
        <v>8.11</v>
      </c>
      <c r="P62">
        <v>23.9</v>
      </c>
      <c r="Q62">
        <v>7.85</v>
      </c>
      <c r="R62">
        <v>8.6999999999999993</v>
      </c>
      <c r="S62">
        <v>23.9</v>
      </c>
      <c r="T62">
        <v>7.85</v>
      </c>
      <c r="U62">
        <v>8.1</v>
      </c>
      <c r="V62">
        <v>23.78</v>
      </c>
      <c r="W62">
        <v>8.43</v>
      </c>
      <c r="X62">
        <v>23.82</v>
      </c>
      <c r="Y62">
        <v>8.01</v>
      </c>
      <c r="Z62">
        <v>23.8</v>
      </c>
      <c r="AA62">
        <v>8.01</v>
      </c>
      <c r="AB62">
        <v>0.283356</v>
      </c>
      <c r="AC62">
        <v>8</v>
      </c>
      <c r="AD62">
        <v>25</v>
      </c>
      <c r="AE62" t="s">
        <v>104</v>
      </c>
      <c r="AF62" s="2">
        <v>0</v>
      </c>
      <c r="AG62" s="2">
        <v>0</v>
      </c>
      <c r="AH62" s="2">
        <v>0</v>
      </c>
      <c r="AI62" s="2">
        <v>317.62164909160202</v>
      </c>
      <c r="AJ62" s="2">
        <v>0</v>
      </c>
      <c r="AK62" s="2">
        <v>0</v>
      </c>
      <c r="AL62" s="2">
        <v>0</v>
      </c>
      <c r="AM62" s="2">
        <v>758.762828385494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3.5291294343511299</v>
      </c>
      <c r="AZ62" s="2">
        <v>0</v>
      </c>
      <c r="BA62" s="2">
        <v>0</v>
      </c>
      <c r="BB62" s="2">
        <v>0</v>
      </c>
      <c r="BC62" s="2">
        <v>356.44207286946499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7.0582588687022696</v>
      </c>
      <c r="BT62" s="2">
        <v>0</v>
      </c>
      <c r="BU62" s="2">
        <v>7.0582588687022696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3.5291294343511299</v>
      </c>
      <c r="CQ62" s="2">
        <v>0</v>
      </c>
      <c r="CR62" s="2">
        <v>0</v>
      </c>
      <c r="CS62" s="2">
        <v>0</v>
      </c>
      <c r="CT62" s="2">
        <v>24.703906040457898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1492.8217507305301</v>
      </c>
      <c r="DA62" s="2">
        <f t="shared" si="0"/>
        <v>0</v>
      </c>
      <c r="DB62" s="2">
        <f t="shared" si="1"/>
        <v>317.62164909160202</v>
      </c>
      <c r="DC62" s="2">
        <f t="shared" si="2"/>
        <v>356.44207286946499</v>
      </c>
      <c r="DD62" s="2">
        <f t="shared" si="3"/>
        <v>0</v>
      </c>
      <c r="DE62" s="2">
        <f t="shared" si="4"/>
        <v>758.762828385494</v>
      </c>
      <c r="DF62" s="2">
        <f t="shared" si="5"/>
        <v>14.116517737404539</v>
      </c>
      <c r="DG62" s="2">
        <f t="shared" si="6"/>
        <v>1446.9430680839655</v>
      </c>
    </row>
    <row r="63" spans="1:111" x14ac:dyDescent="0.35">
      <c r="A63">
        <v>2015</v>
      </c>
      <c r="B63">
        <v>12</v>
      </c>
      <c r="C63">
        <v>107</v>
      </c>
      <c r="D63" s="1">
        <v>42241</v>
      </c>
      <c r="E63">
        <v>41.948666666666703</v>
      </c>
      <c r="F63">
        <v>-82.692666666666696</v>
      </c>
      <c r="G63">
        <v>41.949330000000003</v>
      </c>
      <c r="H63">
        <v>-82.681669999999997</v>
      </c>
      <c r="I63">
        <v>2.1</v>
      </c>
      <c r="J63">
        <v>2</v>
      </c>
      <c r="K63">
        <v>0.49</v>
      </c>
      <c r="L63">
        <v>3.1</v>
      </c>
      <c r="M63">
        <v>5</v>
      </c>
      <c r="N63">
        <v>22.85</v>
      </c>
      <c r="O63">
        <v>10.01</v>
      </c>
      <c r="P63">
        <v>23.04</v>
      </c>
      <c r="Q63">
        <v>8.82</v>
      </c>
      <c r="R63">
        <v>10.7</v>
      </c>
      <c r="S63">
        <v>23.02</v>
      </c>
      <c r="T63">
        <v>9.09</v>
      </c>
      <c r="U63">
        <v>10.7</v>
      </c>
      <c r="V63">
        <v>22.56</v>
      </c>
      <c r="W63">
        <v>9.9499999999999993</v>
      </c>
      <c r="X63">
        <v>23.06</v>
      </c>
      <c r="Y63">
        <v>8.82</v>
      </c>
      <c r="Z63">
        <v>23.1</v>
      </c>
      <c r="AA63">
        <v>8.91</v>
      </c>
      <c r="AB63">
        <v>0.27224399999999999</v>
      </c>
      <c r="AC63">
        <v>8</v>
      </c>
      <c r="AD63">
        <v>25</v>
      </c>
      <c r="AE63" t="s">
        <v>105</v>
      </c>
      <c r="AF63" s="2">
        <v>0</v>
      </c>
      <c r="AG63" s="2">
        <v>0</v>
      </c>
      <c r="AH63" s="2">
        <v>0</v>
      </c>
      <c r="AI63" s="2">
        <v>528.937276854586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38259.7963591484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22.039053202274399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38810.772689205303</v>
      </c>
      <c r="DA63" s="2">
        <f t="shared" si="0"/>
        <v>0</v>
      </c>
      <c r="DB63" s="2">
        <f t="shared" si="1"/>
        <v>528.937276854586</v>
      </c>
      <c r="DC63" s="2">
        <f t="shared" si="2"/>
        <v>38259.7963591484</v>
      </c>
      <c r="DD63" s="2">
        <f t="shared" si="3"/>
        <v>0</v>
      </c>
      <c r="DE63" s="2">
        <f t="shared" si="4"/>
        <v>0</v>
      </c>
      <c r="DF63" s="2">
        <f t="shared" si="5"/>
        <v>22.039053202274399</v>
      </c>
      <c r="DG63" s="2">
        <f t="shared" si="6"/>
        <v>38810.77268920526</v>
      </c>
    </row>
    <row r="64" spans="1:111" x14ac:dyDescent="0.35">
      <c r="A64">
        <v>2015</v>
      </c>
      <c r="B64">
        <v>12</v>
      </c>
      <c r="C64">
        <v>108</v>
      </c>
      <c r="D64" s="1">
        <v>42241</v>
      </c>
      <c r="E64">
        <v>41.947333333333297</v>
      </c>
      <c r="F64">
        <v>-82.6963333333333</v>
      </c>
      <c r="G64">
        <v>41.94567</v>
      </c>
      <c r="H64">
        <v>-82.685000000000002</v>
      </c>
      <c r="I64">
        <v>2.1</v>
      </c>
      <c r="J64">
        <v>2</v>
      </c>
      <c r="K64">
        <v>0.51</v>
      </c>
      <c r="L64">
        <v>3.1</v>
      </c>
      <c r="M64">
        <v>8</v>
      </c>
      <c r="N64">
        <v>22.85</v>
      </c>
      <c r="O64">
        <v>10.01</v>
      </c>
      <c r="P64">
        <v>23.04</v>
      </c>
      <c r="Q64">
        <v>8.82</v>
      </c>
      <c r="R64">
        <v>10.8</v>
      </c>
      <c r="S64">
        <v>23.03</v>
      </c>
      <c r="T64">
        <v>8.93</v>
      </c>
      <c r="U64">
        <v>10.8</v>
      </c>
      <c r="V64">
        <v>22.56</v>
      </c>
      <c r="W64">
        <v>9.9499999999999993</v>
      </c>
      <c r="X64">
        <v>23.06</v>
      </c>
      <c r="Y64">
        <v>8.82</v>
      </c>
      <c r="Z64">
        <v>23</v>
      </c>
      <c r="AA64">
        <v>8.85</v>
      </c>
      <c r="AB64">
        <v>0.283356</v>
      </c>
      <c r="AC64">
        <v>8</v>
      </c>
      <c r="AD64">
        <v>25</v>
      </c>
      <c r="AE64" t="s">
        <v>106</v>
      </c>
      <c r="AF64" s="2">
        <v>0</v>
      </c>
      <c r="AG64" s="2">
        <v>0</v>
      </c>
      <c r="AH64" s="2">
        <v>0</v>
      </c>
      <c r="AI64" s="2">
        <v>179.98560115190801</v>
      </c>
      <c r="AJ64" s="2">
        <v>0</v>
      </c>
      <c r="AK64" s="2">
        <v>0</v>
      </c>
      <c r="AL64" s="2">
        <v>0</v>
      </c>
      <c r="AM64" s="2">
        <v>49.407812080915903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14084.7555724954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3.5291294343511299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17.645647171755702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14335.323762334299</v>
      </c>
      <c r="DA64" s="2">
        <f t="shared" si="0"/>
        <v>0</v>
      </c>
      <c r="DB64" s="2">
        <f t="shared" si="1"/>
        <v>179.98560115190801</v>
      </c>
      <c r="DC64" s="2">
        <f t="shared" si="2"/>
        <v>14084.7555724954</v>
      </c>
      <c r="DD64" s="2">
        <f t="shared" si="3"/>
        <v>0</v>
      </c>
      <c r="DE64" s="2">
        <f t="shared" si="4"/>
        <v>49.407812080915903</v>
      </c>
      <c r="DF64" s="2">
        <f t="shared" si="5"/>
        <v>3.5291294343511299</v>
      </c>
      <c r="DG64" s="2">
        <f t="shared" si="6"/>
        <v>14317.678115162575</v>
      </c>
    </row>
    <row r="65" spans="1:111" x14ac:dyDescent="0.35">
      <c r="A65">
        <v>2015</v>
      </c>
      <c r="B65">
        <v>12</v>
      </c>
      <c r="C65">
        <v>109</v>
      </c>
      <c r="D65" s="1">
        <v>42241</v>
      </c>
      <c r="E65">
        <v>41.948666666666703</v>
      </c>
      <c r="F65">
        <v>-82.694666666666706</v>
      </c>
      <c r="G65">
        <v>41.949330000000003</v>
      </c>
      <c r="H65">
        <v>-82.683670000000006</v>
      </c>
      <c r="I65">
        <v>2.1</v>
      </c>
      <c r="J65">
        <v>2</v>
      </c>
      <c r="K65">
        <v>0.49</v>
      </c>
      <c r="L65">
        <v>3.1</v>
      </c>
      <c r="M65">
        <v>9</v>
      </c>
      <c r="N65">
        <v>22.85</v>
      </c>
      <c r="O65">
        <v>10.01</v>
      </c>
      <c r="P65">
        <v>23.04</v>
      </c>
      <c r="Q65">
        <v>8.82</v>
      </c>
      <c r="R65">
        <v>10.8</v>
      </c>
      <c r="S65">
        <v>23.04</v>
      </c>
      <c r="T65">
        <v>8.82</v>
      </c>
      <c r="U65">
        <v>10.8</v>
      </c>
      <c r="V65">
        <v>22.56</v>
      </c>
      <c r="W65">
        <v>9.9499999999999993</v>
      </c>
      <c r="X65">
        <v>23.06</v>
      </c>
      <c r="Y65">
        <v>8.82</v>
      </c>
      <c r="Z65">
        <v>23.1</v>
      </c>
      <c r="AA65">
        <v>8.82</v>
      </c>
      <c r="AB65">
        <v>0.27224399999999999</v>
      </c>
      <c r="AC65">
        <v>8</v>
      </c>
      <c r="AD65">
        <v>25</v>
      </c>
      <c r="AE65" t="s">
        <v>106</v>
      </c>
      <c r="AF65" s="2">
        <v>0</v>
      </c>
      <c r="AG65" s="2">
        <v>0</v>
      </c>
      <c r="AH65" s="2">
        <v>0</v>
      </c>
      <c r="AI65" s="2">
        <v>1759.4510806482399</v>
      </c>
      <c r="AJ65" s="2">
        <v>0</v>
      </c>
      <c r="AK65" s="2">
        <v>0</v>
      </c>
      <c r="AL65" s="2">
        <v>0</v>
      </c>
      <c r="AM65" s="2">
        <v>7.34635106742481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6038.7005774231902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3.6731755337124099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11.0195266011372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3.6731755337124099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7823.8638868074204</v>
      </c>
      <c r="DA65" s="2">
        <f t="shared" si="0"/>
        <v>0</v>
      </c>
      <c r="DB65" s="2">
        <f t="shared" si="1"/>
        <v>1759.4510806482399</v>
      </c>
      <c r="DC65" s="2">
        <f t="shared" si="2"/>
        <v>6038.7005774231902</v>
      </c>
      <c r="DD65" s="2">
        <f t="shared" si="3"/>
        <v>0</v>
      </c>
      <c r="DE65" s="2">
        <f t="shared" si="4"/>
        <v>7.34635106742481</v>
      </c>
      <c r="DF65" s="2">
        <f t="shared" si="5"/>
        <v>3.6731755337124099</v>
      </c>
      <c r="DG65" s="2">
        <f t="shared" si="6"/>
        <v>7809.1711846725675</v>
      </c>
    </row>
    <row r="66" spans="1:111" x14ac:dyDescent="0.35">
      <c r="A66">
        <v>2015</v>
      </c>
      <c r="B66">
        <v>12</v>
      </c>
      <c r="C66">
        <v>110</v>
      </c>
      <c r="D66" s="1">
        <v>42241</v>
      </c>
      <c r="E66">
        <v>41.949166666666699</v>
      </c>
      <c r="F66">
        <v>-82.695666666666696</v>
      </c>
      <c r="G66">
        <v>41.949829999999999</v>
      </c>
      <c r="H66">
        <v>-82.684830000000005</v>
      </c>
      <c r="I66">
        <v>2.1</v>
      </c>
      <c r="J66">
        <v>2</v>
      </c>
      <c r="K66">
        <v>0.49</v>
      </c>
      <c r="L66">
        <v>3.1</v>
      </c>
      <c r="M66">
        <v>10.8</v>
      </c>
      <c r="N66">
        <v>22.85</v>
      </c>
      <c r="O66">
        <v>10.01</v>
      </c>
      <c r="P66">
        <v>23.04</v>
      </c>
      <c r="Q66">
        <v>8.82</v>
      </c>
      <c r="R66">
        <v>10.8</v>
      </c>
      <c r="S66">
        <v>23.04</v>
      </c>
      <c r="T66">
        <v>8.82</v>
      </c>
      <c r="U66">
        <v>10.8</v>
      </c>
      <c r="V66">
        <v>22.56</v>
      </c>
      <c r="W66">
        <v>9.9499999999999993</v>
      </c>
      <c r="X66">
        <v>23.06</v>
      </c>
      <c r="Y66">
        <v>8.82</v>
      </c>
      <c r="Z66">
        <v>23</v>
      </c>
      <c r="AA66">
        <v>8.82</v>
      </c>
      <c r="AB66">
        <v>0.27224399999999999</v>
      </c>
      <c r="AC66">
        <v>8</v>
      </c>
      <c r="AD66">
        <v>25</v>
      </c>
      <c r="AE66" t="s">
        <v>104</v>
      </c>
      <c r="AF66" s="2">
        <v>0</v>
      </c>
      <c r="AG66" s="2">
        <v>0</v>
      </c>
      <c r="AH66" s="2">
        <v>0</v>
      </c>
      <c r="AI66" s="2">
        <v>286.507691629568</v>
      </c>
      <c r="AJ66" s="2">
        <v>0</v>
      </c>
      <c r="AK66" s="2">
        <v>0</v>
      </c>
      <c r="AL66" s="2">
        <v>0</v>
      </c>
      <c r="AM66" s="2">
        <v>62.443984073110897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11.0195266011372</v>
      </c>
      <c r="AZ66" s="2">
        <v>0</v>
      </c>
      <c r="BA66" s="2">
        <v>0</v>
      </c>
      <c r="BB66" s="2">
        <v>0</v>
      </c>
      <c r="BC66" s="2">
        <v>8819.2944564434893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11.0195266011372</v>
      </c>
      <c r="BT66" s="2">
        <v>66.117159606823293</v>
      </c>
      <c r="BU66" s="2">
        <v>29.385404269699201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293.854042696992</v>
      </c>
      <c r="CN66" s="2">
        <v>319.56627143297902</v>
      </c>
      <c r="CO66" s="2">
        <v>33.058579803411597</v>
      </c>
      <c r="CP66" s="2">
        <v>7.34635106742481</v>
      </c>
      <c r="CQ66" s="2">
        <v>0</v>
      </c>
      <c r="CR66" s="2">
        <v>0</v>
      </c>
      <c r="CS66" s="2">
        <v>0</v>
      </c>
      <c r="CT66" s="2">
        <v>3.6731755337124099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9943.2861697594799</v>
      </c>
      <c r="DA66" s="2">
        <f t="shared" si="0"/>
        <v>0</v>
      </c>
      <c r="DB66" s="2">
        <f t="shared" si="1"/>
        <v>286.507691629568</v>
      </c>
      <c r="DC66" s="2">
        <f t="shared" si="2"/>
        <v>8819.2944564434893</v>
      </c>
      <c r="DD66" s="2">
        <f t="shared" si="3"/>
        <v>0</v>
      </c>
      <c r="DE66" s="2">
        <f t="shared" si="4"/>
        <v>62.443984073110897</v>
      </c>
      <c r="DF66" s="2">
        <f t="shared" si="5"/>
        <v>367.31755337123997</v>
      </c>
      <c r="DG66" s="2">
        <f t="shared" si="6"/>
        <v>9535.5636855174071</v>
      </c>
    </row>
    <row r="67" spans="1:111" x14ac:dyDescent="0.35">
      <c r="A67">
        <v>2015</v>
      </c>
      <c r="B67">
        <v>8</v>
      </c>
      <c r="C67">
        <v>111</v>
      </c>
      <c r="D67" s="1">
        <v>42242</v>
      </c>
      <c r="E67">
        <v>41.8213333333333</v>
      </c>
      <c r="F67">
        <v>-82.891333333333293</v>
      </c>
      <c r="G67">
        <v>41.817500000000003</v>
      </c>
      <c r="H67">
        <v>-82.880830000000003</v>
      </c>
      <c r="I67">
        <v>1.9</v>
      </c>
      <c r="J67">
        <v>2</v>
      </c>
      <c r="K67">
        <v>0.52</v>
      </c>
      <c r="L67">
        <v>3.1</v>
      </c>
      <c r="M67">
        <v>5</v>
      </c>
      <c r="N67">
        <v>22.21</v>
      </c>
      <c r="O67">
        <v>9.16</v>
      </c>
      <c r="P67">
        <v>22.47</v>
      </c>
      <c r="Q67">
        <v>8.61</v>
      </c>
      <c r="R67">
        <v>10.5</v>
      </c>
      <c r="S67">
        <v>22.4</v>
      </c>
      <c r="T67">
        <v>8.61</v>
      </c>
      <c r="U67">
        <v>10.5</v>
      </c>
      <c r="V67">
        <v>22.11</v>
      </c>
      <c r="W67">
        <v>9.08</v>
      </c>
      <c r="X67">
        <v>22.44</v>
      </c>
      <c r="Y67">
        <v>8.6</v>
      </c>
      <c r="Z67">
        <v>22.3</v>
      </c>
      <c r="AA67">
        <v>8.6199999999999992</v>
      </c>
      <c r="AB67">
        <v>0.288912</v>
      </c>
      <c r="AC67">
        <v>8</v>
      </c>
      <c r="AD67">
        <v>26</v>
      </c>
      <c r="AE67" t="s">
        <v>105</v>
      </c>
      <c r="AF67" s="2">
        <v>0</v>
      </c>
      <c r="AG67" s="2">
        <v>0</v>
      </c>
      <c r="AH67" s="2">
        <v>0</v>
      </c>
      <c r="AI67" s="2">
        <v>2135.5983828986</v>
      </c>
      <c r="AJ67" s="2">
        <v>0</v>
      </c>
      <c r="AK67" s="2">
        <v>0</v>
      </c>
      <c r="AL67" s="2">
        <v>0</v>
      </c>
      <c r="AM67" s="2">
        <v>3.4612615606136101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10435.703605250001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20.767569363681702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12595.530819072899</v>
      </c>
      <c r="DA67" s="2">
        <f t="shared" ref="DA67:DA114" si="7">AH67</f>
        <v>0</v>
      </c>
      <c r="DB67" s="2">
        <f t="shared" ref="DB67:DB114" si="8">AI67+AJ67</f>
        <v>2135.5983828986</v>
      </c>
      <c r="DC67" s="2">
        <f t="shared" ref="DC67:DC114" si="9">BC67</f>
        <v>10435.703605250001</v>
      </c>
      <c r="DD67" s="2">
        <f t="shared" ref="DD67:DD114" si="10">BE67+BF67+BG67+BH67+BI67</f>
        <v>0</v>
      </c>
      <c r="DE67" s="2">
        <f t="shared" ref="DE67:DE114" si="11">SUM(AM67,BB67,BR67,CU67)</f>
        <v>3.4612615606136101</v>
      </c>
      <c r="DF67" s="2">
        <f t="shared" ref="DF67:DF114" si="12">BS67+BU67+CM67+CO67+CW67</f>
        <v>20.767569363681702</v>
      </c>
      <c r="DG67" s="2">
        <f t="shared" ref="DG67:DG114" si="13">SUM(DA67:DF67)</f>
        <v>12595.530819072894</v>
      </c>
    </row>
    <row r="68" spans="1:111" x14ac:dyDescent="0.35">
      <c r="A68">
        <v>2015</v>
      </c>
      <c r="B68">
        <v>8</v>
      </c>
      <c r="C68">
        <v>112</v>
      </c>
      <c r="D68" s="1">
        <v>42242</v>
      </c>
      <c r="E68">
        <v>41.821833333333302</v>
      </c>
      <c r="F68">
        <v>-82.893833333333305</v>
      </c>
      <c r="G68">
        <v>41.8185</v>
      </c>
      <c r="H68">
        <v>-82.883669999999995</v>
      </c>
      <c r="I68">
        <v>1.9</v>
      </c>
      <c r="J68">
        <v>2</v>
      </c>
      <c r="K68">
        <v>0.5</v>
      </c>
      <c r="L68">
        <v>3.1</v>
      </c>
      <c r="M68">
        <v>8</v>
      </c>
      <c r="N68">
        <v>22.21</v>
      </c>
      <c r="O68">
        <v>9.16</v>
      </c>
      <c r="P68">
        <v>22.47</v>
      </c>
      <c r="Q68">
        <v>8.61</v>
      </c>
      <c r="R68">
        <v>10.5</v>
      </c>
      <c r="S68">
        <v>22.45</v>
      </c>
      <c r="T68">
        <v>8.61</v>
      </c>
      <c r="V68">
        <v>22.11</v>
      </c>
      <c r="W68">
        <v>9.08</v>
      </c>
      <c r="X68">
        <v>22.44</v>
      </c>
      <c r="Y68">
        <v>8.6</v>
      </c>
      <c r="Z68">
        <v>22.4</v>
      </c>
      <c r="AA68">
        <v>8.6</v>
      </c>
      <c r="AB68">
        <v>0.27779999999999999</v>
      </c>
      <c r="AC68">
        <v>8</v>
      </c>
      <c r="AD68">
        <v>26</v>
      </c>
      <c r="AE68" t="s">
        <v>106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3.5997120230381601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1162.7069834413201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3.5997120230381601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1169.9064074874</v>
      </c>
      <c r="DA68" s="2">
        <f t="shared" si="7"/>
        <v>0</v>
      </c>
      <c r="DB68" s="2">
        <f t="shared" si="8"/>
        <v>0</v>
      </c>
      <c r="DC68" s="2">
        <f t="shared" si="9"/>
        <v>1162.7069834413201</v>
      </c>
      <c r="DD68" s="2">
        <f t="shared" si="10"/>
        <v>0</v>
      </c>
      <c r="DE68" s="2">
        <f t="shared" si="11"/>
        <v>3.5997120230381601</v>
      </c>
      <c r="DF68" s="2">
        <f t="shared" si="12"/>
        <v>3.5997120230381601</v>
      </c>
      <c r="DG68" s="2">
        <f t="shared" si="13"/>
        <v>1169.9064074873963</v>
      </c>
    </row>
    <row r="69" spans="1:111" x14ac:dyDescent="0.35">
      <c r="A69">
        <v>2015</v>
      </c>
      <c r="B69">
        <v>8</v>
      </c>
      <c r="C69">
        <v>113</v>
      </c>
      <c r="D69" s="1">
        <v>42242</v>
      </c>
      <c r="E69">
        <v>41.820999999999998</v>
      </c>
      <c r="F69">
        <v>-82.894666666666694</v>
      </c>
      <c r="G69">
        <v>41.816670000000002</v>
      </c>
      <c r="H69">
        <v>-82.885000000000005</v>
      </c>
      <c r="I69">
        <v>1.9</v>
      </c>
      <c r="J69">
        <v>2</v>
      </c>
      <c r="K69">
        <v>0.5</v>
      </c>
      <c r="L69">
        <v>3.1</v>
      </c>
      <c r="M69">
        <v>10.5</v>
      </c>
      <c r="N69">
        <v>22.21</v>
      </c>
      <c r="O69">
        <v>9.16</v>
      </c>
      <c r="P69">
        <v>22.47</v>
      </c>
      <c r="Q69">
        <v>8.61</v>
      </c>
      <c r="R69">
        <v>10.5</v>
      </c>
      <c r="S69">
        <v>22.47</v>
      </c>
      <c r="T69">
        <v>8.61</v>
      </c>
      <c r="U69">
        <v>10.5</v>
      </c>
      <c r="V69">
        <v>22.11</v>
      </c>
      <c r="W69">
        <v>9.08</v>
      </c>
      <c r="X69">
        <v>22.44</v>
      </c>
      <c r="Y69">
        <v>8.6</v>
      </c>
      <c r="Z69">
        <v>22.4</v>
      </c>
      <c r="AA69">
        <v>8.6</v>
      </c>
      <c r="AB69">
        <v>0.27779999999999999</v>
      </c>
      <c r="AC69">
        <v>8</v>
      </c>
      <c r="AD69">
        <v>26</v>
      </c>
      <c r="AE69" t="s">
        <v>104</v>
      </c>
      <c r="AF69" s="2">
        <v>0</v>
      </c>
      <c r="AG69" s="2">
        <v>0</v>
      </c>
      <c r="AH69" s="2">
        <v>0</v>
      </c>
      <c r="AI69" s="2">
        <v>118.790496760259</v>
      </c>
      <c r="AJ69" s="2">
        <v>0</v>
      </c>
      <c r="AK69" s="2">
        <v>0</v>
      </c>
      <c r="AL69" s="2">
        <v>0</v>
      </c>
      <c r="AM69" s="2">
        <v>10.7991360691145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7.1994240460763104</v>
      </c>
      <c r="AZ69" s="2">
        <v>0</v>
      </c>
      <c r="BA69" s="2">
        <v>0</v>
      </c>
      <c r="BB69" s="2">
        <v>0</v>
      </c>
      <c r="BC69" s="2">
        <v>885.52915766738704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3.5997120230381601</v>
      </c>
      <c r="BS69" s="2">
        <v>950.32397408207396</v>
      </c>
      <c r="BT69" s="2">
        <v>0</v>
      </c>
      <c r="BU69" s="2">
        <v>17.998560115190799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845.93232541396696</v>
      </c>
      <c r="CN69" s="2">
        <v>14.398848092152599</v>
      </c>
      <c r="CO69" s="2">
        <v>3.5997120230381601</v>
      </c>
      <c r="CP69" s="2">
        <v>0</v>
      </c>
      <c r="CQ69" s="2">
        <v>0</v>
      </c>
      <c r="CR69" s="2">
        <v>0</v>
      </c>
      <c r="CS69" s="2">
        <v>0</v>
      </c>
      <c r="CT69" s="2">
        <v>3.5997120230381601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2861.7710583153298</v>
      </c>
      <c r="DA69" s="2">
        <f t="shared" si="7"/>
        <v>0</v>
      </c>
      <c r="DB69" s="2">
        <f t="shared" si="8"/>
        <v>118.790496760259</v>
      </c>
      <c r="DC69" s="2">
        <f t="shared" si="9"/>
        <v>885.52915766738704</v>
      </c>
      <c r="DD69" s="2">
        <f t="shared" si="10"/>
        <v>0</v>
      </c>
      <c r="DE69" s="2">
        <f t="shared" si="11"/>
        <v>14.39884809215266</v>
      </c>
      <c r="DF69" s="2">
        <f t="shared" si="12"/>
        <v>1817.8545716342699</v>
      </c>
      <c r="DG69" s="2">
        <f t="shared" si="13"/>
        <v>2836.5730741540683</v>
      </c>
    </row>
    <row r="70" spans="1:111" x14ac:dyDescent="0.35">
      <c r="A70">
        <v>2015</v>
      </c>
      <c r="B70">
        <v>22</v>
      </c>
      <c r="C70">
        <v>114</v>
      </c>
      <c r="D70" s="1">
        <v>42242</v>
      </c>
      <c r="E70">
        <v>41.778833333333303</v>
      </c>
      <c r="F70">
        <v>-82.775000000000006</v>
      </c>
      <c r="G70">
        <v>41.776499999999999</v>
      </c>
      <c r="H70">
        <v>-82.763999999999996</v>
      </c>
      <c r="I70">
        <v>1.9</v>
      </c>
      <c r="J70">
        <v>2</v>
      </c>
      <c r="K70">
        <v>0.52</v>
      </c>
      <c r="L70">
        <v>3.1</v>
      </c>
      <c r="M70">
        <v>5</v>
      </c>
      <c r="N70">
        <v>22.1</v>
      </c>
      <c r="O70">
        <v>9.6</v>
      </c>
      <c r="P70">
        <v>22.4</v>
      </c>
      <c r="Q70">
        <v>8.64</v>
      </c>
      <c r="R70">
        <v>8.8000000000000007</v>
      </c>
      <c r="S70">
        <v>22.37</v>
      </c>
      <c r="T70">
        <v>8.69</v>
      </c>
      <c r="U70">
        <v>9</v>
      </c>
      <c r="V70">
        <v>22.12</v>
      </c>
      <c r="W70">
        <v>9.0500000000000007</v>
      </c>
      <c r="X70">
        <v>22.23</v>
      </c>
      <c r="Y70">
        <v>8.84</v>
      </c>
      <c r="Z70">
        <v>22.2</v>
      </c>
      <c r="AA70">
        <v>8.89</v>
      </c>
      <c r="AB70">
        <v>0.288912</v>
      </c>
      <c r="AC70">
        <v>8</v>
      </c>
      <c r="AD70">
        <v>26</v>
      </c>
      <c r="AE70" t="s">
        <v>105</v>
      </c>
      <c r="AF70" s="2">
        <v>0</v>
      </c>
      <c r="AG70" s="2">
        <v>0</v>
      </c>
      <c r="AH70" s="2">
        <v>0</v>
      </c>
      <c r="AI70" s="2">
        <v>955.30819072935697</v>
      </c>
      <c r="AJ70" s="2">
        <v>0</v>
      </c>
      <c r="AK70" s="2">
        <v>0</v>
      </c>
      <c r="AL70" s="2">
        <v>0</v>
      </c>
      <c r="AM70" s="2">
        <v>65.763969651658599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13.8450462424544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3.4612615606136101</v>
      </c>
      <c r="BT70" s="2">
        <v>0</v>
      </c>
      <c r="BU70" s="2">
        <v>6.9225231212272202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1079.91360691145</v>
      </c>
      <c r="DA70" s="2">
        <f t="shared" si="7"/>
        <v>0</v>
      </c>
      <c r="DB70" s="2">
        <f t="shared" si="8"/>
        <v>955.30819072935697</v>
      </c>
      <c r="DC70" s="2">
        <f t="shared" si="9"/>
        <v>13.8450462424544</v>
      </c>
      <c r="DD70" s="2">
        <f t="shared" si="10"/>
        <v>0</v>
      </c>
      <c r="DE70" s="2">
        <f t="shared" si="11"/>
        <v>65.763969651658599</v>
      </c>
      <c r="DF70" s="2">
        <f t="shared" si="12"/>
        <v>10.383784681840829</v>
      </c>
      <c r="DG70" s="2">
        <f t="shared" si="13"/>
        <v>1045.3009913053106</v>
      </c>
    </row>
    <row r="71" spans="1:111" x14ac:dyDescent="0.35">
      <c r="A71">
        <v>2015</v>
      </c>
      <c r="B71">
        <v>22</v>
      </c>
      <c r="C71">
        <v>115</v>
      </c>
      <c r="D71" s="1">
        <v>42242</v>
      </c>
      <c r="E71">
        <v>41.779499999999999</v>
      </c>
      <c r="F71">
        <v>-82.775000000000006</v>
      </c>
      <c r="G71">
        <v>41.778500000000001</v>
      </c>
      <c r="H71">
        <v>-82.763999999999996</v>
      </c>
      <c r="I71">
        <v>1.9</v>
      </c>
      <c r="J71">
        <v>2</v>
      </c>
      <c r="K71">
        <v>0.5</v>
      </c>
      <c r="L71">
        <v>3.1</v>
      </c>
      <c r="M71">
        <v>8.8000000000000007</v>
      </c>
      <c r="N71">
        <v>22.1</v>
      </c>
      <c r="O71">
        <v>9.6</v>
      </c>
      <c r="P71">
        <v>22.4</v>
      </c>
      <c r="Q71">
        <v>8.64</v>
      </c>
      <c r="R71">
        <v>8.8000000000000007</v>
      </c>
      <c r="S71">
        <v>22.4</v>
      </c>
      <c r="T71">
        <v>8.64</v>
      </c>
      <c r="U71">
        <v>8.9</v>
      </c>
      <c r="V71">
        <v>22.12</v>
      </c>
      <c r="W71">
        <v>9.0500000000000007</v>
      </c>
      <c r="X71">
        <v>22.23</v>
      </c>
      <c r="Y71">
        <v>8.84</v>
      </c>
      <c r="Z71">
        <v>22.2</v>
      </c>
      <c r="AA71">
        <v>8.84</v>
      </c>
      <c r="AB71">
        <v>0.27779999999999999</v>
      </c>
      <c r="AC71">
        <v>8</v>
      </c>
      <c r="AD71">
        <v>26</v>
      </c>
      <c r="AE71" t="s">
        <v>104</v>
      </c>
      <c r="AF71" s="2">
        <v>0</v>
      </c>
      <c r="AG71" s="2">
        <v>0</v>
      </c>
      <c r="AH71" s="2">
        <v>0</v>
      </c>
      <c r="AI71" s="2">
        <v>169.18646508279301</v>
      </c>
      <c r="AJ71" s="2">
        <v>0</v>
      </c>
      <c r="AK71" s="2">
        <v>0</v>
      </c>
      <c r="AL71" s="2">
        <v>0</v>
      </c>
      <c r="AM71" s="2">
        <v>17.998560115190799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10.7991360691145</v>
      </c>
      <c r="AZ71" s="2">
        <v>0</v>
      </c>
      <c r="BA71" s="2">
        <v>0</v>
      </c>
      <c r="BB71" s="2">
        <v>0</v>
      </c>
      <c r="BC71" s="2">
        <v>61.195104391648698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6054.71562275018</v>
      </c>
      <c r="BT71" s="2">
        <v>17.998560115190799</v>
      </c>
      <c r="BU71" s="2">
        <v>14.398848092152599</v>
      </c>
      <c r="BV71" s="2">
        <v>14.398848092152599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4024.4780417566599</v>
      </c>
      <c r="CN71" s="2">
        <v>154.787616990641</v>
      </c>
      <c r="CO71" s="2">
        <v>215.98272138228899</v>
      </c>
      <c r="CP71" s="2">
        <v>17.998560115190799</v>
      </c>
      <c r="CQ71" s="2">
        <v>0</v>
      </c>
      <c r="CR71" s="2">
        <v>0</v>
      </c>
      <c r="CS71" s="2">
        <v>0</v>
      </c>
      <c r="CT71" s="2">
        <v>0</v>
      </c>
      <c r="CU71" s="2">
        <v>140.388768898488</v>
      </c>
      <c r="CV71" s="2">
        <v>0</v>
      </c>
      <c r="CW71" s="2">
        <v>0</v>
      </c>
      <c r="CX71" s="2">
        <v>3.5997120230381601</v>
      </c>
      <c r="CY71" s="2">
        <v>0</v>
      </c>
      <c r="CZ71" s="2">
        <v>10917.926565874701</v>
      </c>
      <c r="DA71" s="2">
        <f t="shared" si="7"/>
        <v>0</v>
      </c>
      <c r="DB71" s="2">
        <f t="shared" si="8"/>
        <v>169.18646508279301</v>
      </c>
      <c r="DC71" s="2">
        <f t="shared" si="9"/>
        <v>61.195104391648698</v>
      </c>
      <c r="DD71" s="2">
        <f t="shared" si="10"/>
        <v>0</v>
      </c>
      <c r="DE71" s="2">
        <f t="shared" si="11"/>
        <v>158.38732901367879</v>
      </c>
      <c r="DF71" s="2">
        <f t="shared" si="12"/>
        <v>10309.575233981281</v>
      </c>
      <c r="DG71" s="2">
        <f t="shared" si="13"/>
        <v>10698.344132469401</v>
      </c>
    </row>
    <row r="72" spans="1:111" x14ac:dyDescent="0.35">
      <c r="A72">
        <v>2015</v>
      </c>
      <c r="B72">
        <v>1</v>
      </c>
      <c r="C72">
        <v>116</v>
      </c>
      <c r="D72" s="1">
        <v>42243</v>
      </c>
      <c r="E72">
        <v>41.998333333333299</v>
      </c>
      <c r="F72">
        <v>-83.054500000000004</v>
      </c>
      <c r="G72">
        <v>41.993670000000002</v>
      </c>
      <c r="H72">
        <v>-83.045500000000004</v>
      </c>
      <c r="I72">
        <v>2</v>
      </c>
      <c r="J72">
        <v>2</v>
      </c>
      <c r="K72">
        <v>0.49</v>
      </c>
      <c r="L72">
        <v>3.1</v>
      </c>
      <c r="M72">
        <v>5</v>
      </c>
      <c r="N72">
        <v>20.97</v>
      </c>
      <c r="O72">
        <v>9.49</v>
      </c>
      <c r="P72">
        <v>20.9</v>
      </c>
      <c r="Q72">
        <v>9.3699999999999992</v>
      </c>
      <c r="R72">
        <v>6.6</v>
      </c>
      <c r="S72">
        <v>20.91</v>
      </c>
      <c r="T72">
        <v>9.41</v>
      </c>
      <c r="U72">
        <v>7.6</v>
      </c>
      <c r="V72">
        <v>21.18</v>
      </c>
      <c r="W72">
        <v>9.4600000000000009</v>
      </c>
      <c r="X72">
        <v>21.03</v>
      </c>
      <c r="Y72">
        <v>9.2799999999999994</v>
      </c>
      <c r="Z72">
        <v>21</v>
      </c>
      <c r="AA72">
        <v>9.35</v>
      </c>
      <c r="AB72">
        <v>0.27224399999999999</v>
      </c>
      <c r="AC72">
        <v>8</v>
      </c>
      <c r="AD72">
        <v>27</v>
      </c>
      <c r="AE72" t="s">
        <v>105</v>
      </c>
      <c r="AF72" s="2">
        <v>0</v>
      </c>
      <c r="AG72" s="2">
        <v>0</v>
      </c>
      <c r="AH72" s="2">
        <v>0</v>
      </c>
      <c r="AI72" s="2">
        <v>3.6731755337124099</v>
      </c>
      <c r="AJ72" s="2">
        <v>0</v>
      </c>
      <c r="AK72" s="2">
        <v>0</v>
      </c>
      <c r="AL72" s="2">
        <v>0</v>
      </c>
      <c r="AM72" s="2">
        <v>859.52307488870304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205.69782988789501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3.6731755337124099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1072.5672558440201</v>
      </c>
      <c r="DA72" s="2">
        <f t="shared" si="7"/>
        <v>0</v>
      </c>
      <c r="DB72" s="2">
        <f t="shared" si="8"/>
        <v>3.6731755337124099</v>
      </c>
      <c r="DC72" s="2">
        <f t="shared" si="9"/>
        <v>205.69782988789501</v>
      </c>
      <c r="DD72" s="2">
        <f t="shared" si="10"/>
        <v>0</v>
      </c>
      <c r="DE72" s="2">
        <f t="shared" si="11"/>
        <v>859.52307488870304</v>
      </c>
      <c r="DF72" s="2">
        <f t="shared" si="12"/>
        <v>0</v>
      </c>
      <c r="DG72" s="2">
        <f t="shared" si="13"/>
        <v>1068.8940803103105</v>
      </c>
    </row>
    <row r="73" spans="1:111" x14ac:dyDescent="0.35">
      <c r="A73">
        <v>2015</v>
      </c>
      <c r="B73">
        <v>1</v>
      </c>
      <c r="C73">
        <v>117</v>
      </c>
      <c r="D73" s="1">
        <v>42243</v>
      </c>
      <c r="E73">
        <v>41.998333333333299</v>
      </c>
      <c r="F73">
        <v>-83.055166666666693</v>
      </c>
      <c r="G73">
        <v>41.99333</v>
      </c>
      <c r="H73">
        <v>-83.045829999999995</v>
      </c>
      <c r="I73">
        <v>2</v>
      </c>
      <c r="J73">
        <v>2</v>
      </c>
      <c r="K73">
        <v>0.51</v>
      </c>
      <c r="L73">
        <v>3.1</v>
      </c>
      <c r="M73">
        <v>7</v>
      </c>
      <c r="N73">
        <v>20.94</v>
      </c>
      <c r="O73">
        <v>9.49</v>
      </c>
      <c r="P73">
        <v>20.9</v>
      </c>
      <c r="Q73">
        <v>9.3699999999999992</v>
      </c>
      <c r="R73">
        <v>6.6</v>
      </c>
      <c r="S73">
        <v>20.9</v>
      </c>
      <c r="T73">
        <v>9.3699999999999992</v>
      </c>
      <c r="U73">
        <v>7.6</v>
      </c>
      <c r="V73">
        <v>21.18</v>
      </c>
      <c r="W73">
        <v>9.4600000000000009</v>
      </c>
      <c r="X73">
        <v>21.03</v>
      </c>
      <c r="Y73">
        <v>9.2799999999999994</v>
      </c>
      <c r="Z73">
        <v>21</v>
      </c>
      <c r="AA73">
        <v>9.2799999999999994</v>
      </c>
      <c r="AB73">
        <v>0.283356</v>
      </c>
      <c r="AC73">
        <v>8</v>
      </c>
      <c r="AD73">
        <v>27</v>
      </c>
      <c r="AE73" t="s">
        <v>104</v>
      </c>
      <c r="AF73" s="2">
        <v>0</v>
      </c>
      <c r="AG73" s="2">
        <v>0</v>
      </c>
      <c r="AH73" s="2">
        <v>0</v>
      </c>
      <c r="AI73" s="2">
        <v>3.5291294343511299</v>
      </c>
      <c r="AJ73" s="2">
        <v>3.5291294343511299</v>
      </c>
      <c r="AK73" s="2">
        <v>0</v>
      </c>
      <c r="AL73" s="2">
        <v>0</v>
      </c>
      <c r="AM73" s="2">
        <v>59.995200383969298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14.1165177374045</v>
      </c>
      <c r="AV73" s="2">
        <v>0</v>
      </c>
      <c r="AW73" s="2">
        <v>3.5291294343511299</v>
      </c>
      <c r="AX73" s="2">
        <v>0</v>
      </c>
      <c r="AY73" s="2">
        <v>88.228235858778405</v>
      </c>
      <c r="AZ73" s="2">
        <v>0</v>
      </c>
      <c r="BA73" s="2">
        <v>0</v>
      </c>
      <c r="BB73" s="2">
        <v>3.5291294343511299</v>
      </c>
      <c r="BC73" s="2">
        <v>38.820423777862501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70.582588687022707</v>
      </c>
      <c r="BS73" s="2">
        <v>21.1747766061068</v>
      </c>
      <c r="BT73" s="2">
        <v>0</v>
      </c>
      <c r="BU73" s="2">
        <v>3.5291294343511299</v>
      </c>
      <c r="BV73" s="2">
        <v>0</v>
      </c>
      <c r="BW73" s="2">
        <v>0</v>
      </c>
      <c r="BX73" s="2">
        <v>0</v>
      </c>
      <c r="BY73" s="2">
        <v>0</v>
      </c>
      <c r="BZ73" s="2">
        <v>3.5291294343511299</v>
      </c>
      <c r="CA73" s="2">
        <v>0</v>
      </c>
      <c r="CB73" s="2">
        <v>0</v>
      </c>
      <c r="CC73" s="2">
        <v>0</v>
      </c>
      <c r="CD73" s="2">
        <v>0</v>
      </c>
      <c r="CE73" s="2">
        <v>7.0582588687022696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236.45167210152599</v>
      </c>
      <c r="CN73" s="2">
        <v>109.40301246488499</v>
      </c>
      <c r="CO73" s="2">
        <v>3.5291294343511299</v>
      </c>
      <c r="CP73" s="2">
        <v>0</v>
      </c>
      <c r="CQ73" s="2">
        <v>0</v>
      </c>
      <c r="CR73" s="2">
        <v>0</v>
      </c>
      <c r="CS73" s="2">
        <v>0</v>
      </c>
      <c r="CT73" s="2">
        <v>10.5873883030534</v>
      </c>
      <c r="CU73" s="2">
        <v>21.1747766061068</v>
      </c>
      <c r="CV73" s="2">
        <v>0</v>
      </c>
      <c r="CW73" s="2">
        <v>0</v>
      </c>
      <c r="CX73" s="2">
        <v>7.0582588687022696</v>
      </c>
      <c r="CY73" s="2">
        <v>0</v>
      </c>
      <c r="CZ73" s="2">
        <v>709.35501630457804</v>
      </c>
      <c r="DA73" s="2">
        <f t="shared" si="7"/>
        <v>0</v>
      </c>
      <c r="DB73" s="2">
        <f t="shared" si="8"/>
        <v>7.0582588687022598</v>
      </c>
      <c r="DC73" s="2">
        <f t="shared" si="9"/>
        <v>38.820423777862501</v>
      </c>
      <c r="DD73" s="2">
        <f t="shared" si="10"/>
        <v>0</v>
      </c>
      <c r="DE73" s="2">
        <f t="shared" si="11"/>
        <v>155.28169511144992</v>
      </c>
      <c r="DF73" s="2">
        <f t="shared" si="12"/>
        <v>264.68470757633509</v>
      </c>
      <c r="DG73" s="2">
        <f t="shared" si="13"/>
        <v>465.84508533434973</v>
      </c>
    </row>
    <row r="74" spans="1:111" x14ac:dyDescent="0.35">
      <c r="A74">
        <v>2015</v>
      </c>
      <c r="B74">
        <v>24</v>
      </c>
      <c r="C74">
        <v>118</v>
      </c>
      <c r="D74" s="1">
        <v>42243</v>
      </c>
      <c r="E74">
        <v>41.947666666666699</v>
      </c>
      <c r="F74">
        <v>-82.980999999999995</v>
      </c>
      <c r="G74">
        <v>41.941000000000003</v>
      </c>
      <c r="H74">
        <v>-82.974329999999995</v>
      </c>
      <c r="I74">
        <v>2.2000000000000002</v>
      </c>
      <c r="J74">
        <v>2.8</v>
      </c>
      <c r="K74">
        <v>0.5</v>
      </c>
      <c r="L74">
        <v>3.1</v>
      </c>
      <c r="M74">
        <v>5</v>
      </c>
      <c r="N74">
        <v>21.54</v>
      </c>
      <c r="O74">
        <v>9.76</v>
      </c>
      <c r="P74">
        <v>21.58</v>
      </c>
      <c r="Q74">
        <v>9.42</v>
      </c>
      <c r="R74">
        <v>9</v>
      </c>
      <c r="S74">
        <v>21.65</v>
      </c>
      <c r="T74">
        <v>9.6199999999999992</v>
      </c>
      <c r="U74">
        <v>9.4</v>
      </c>
      <c r="V74">
        <v>21.68</v>
      </c>
      <c r="W74">
        <v>10.039999999999999</v>
      </c>
      <c r="X74">
        <v>21.64</v>
      </c>
      <c r="Y74">
        <v>9.51</v>
      </c>
      <c r="Z74">
        <v>21.7</v>
      </c>
      <c r="AA74">
        <v>9.66</v>
      </c>
      <c r="AB74">
        <v>0.27779999999999999</v>
      </c>
      <c r="AC74">
        <v>8</v>
      </c>
      <c r="AD74">
        <v>27</v>
      </c>
      <c r="AE74" t="s">
        <v>105</v>
      </c>
      <c r="AF74" s="2">
        <v>0</v>
      </c>
      <c r="AG74" s="2">
        <v>0</v>
      </c>
      <c r="AH74" s="2">
        <v>0</v>
      </c>
      <c r="AI74" s="2">
        <v>3.5997120230381601</v>
      </c>
      <c r="AJ74" s="2">
        <v>0</v>
      </c>
      <c r="AK74" s="2">
        <v>0</v>
      </c>
      <c r="AL74" s="2">
        <v>0</v>
      </c>
      <c r="AM74" s="2">
        <v>14.398848092152599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23056.155507559401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3.5997120230381601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89.992800575953893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23167.746580273601</v>
      </c>
      <c r="DA74" s="2">
        <f t="shared" si="7"/>
        <v>0</v>
      </c>
      <c r="DB74" s="2">
        <f t="shared" si="8"/>
        <v>3.5997120230381601</v>
      </c>
      <c r="DC74" s="2">
        <f t="shared" si="9"/>
        <v>23056.155507559401</v>
      </c>
      <c r="DD74" s="2">
        <f t="shared" si="10"/>
        <v>0</v>
      </c>
      <c r="DE74" s="2">
        <f t="shared" si="11"/>
        <v>14.398848092152599</v>
      </c>
      <c r="DF74" s="2">
        <f t="shared" si="12"/>
        <v>3.5997120230381601</v>
      </c>
      <c r="DG74" s="2">
        <f t="shared" si="13"/>
        <v>23077.753779697632</v>
      </c>
    </row>
    <row r="75" spans="1:111" x14ac:dyDescent="0.35">
      <c r="A75">
        <v>2015</v>
      </c>
      <c r="B75">
        <v>24</v>
      </c>
      <c r="C75">
        <v>119</v>
      </c>
      <c r="D75" s="1">
        <v>42243</v>
      </c>
      <c r="E75">
        <v>41.9478333333333</v>
      </c>
      <c r="F75">
        <v>-82.980333333333306</v>
      </c>
      <c r="G75">
        <v>41.942329999999998</v>
      </c>
      <c r="H75">
        <v>-82.971500000000006</v>
      </c>
      <c r="I75">
        <v>2.2000000000000002</v>
      </c>
      <c r="J75">
        <v>2.8</v>
      </c>
      <c r="K75">
        <v>0.51</v>
      </c>
      <c r="L75">
        <v>3.1</v>
      </c>
      <c r="M75">
        <v>7</v>
      </c>
      <c r="N75">
        <v>21354</v>
      </c>
      <c r="O75">
        <v>9.76</v>
      </c>
      <c r="P75">
        <v>21.58</v>
      </c>
      <c r="Q75">
        <v>9.42</v>
      </c>
      <c r="R75">
        <v>9.1999999999999993</v>
      </c>
      <c r="S75">
        <v>21.59</v>
      </c>
      <c r="T75">
        <v>9.59</v>
      </c>
      <c r="U75">
        <v>9.4</v>
      </c>
      <c r="V75">
        <v>21.68</v>
      </c>
      <c r="W75">
        <v>10.039999999999999</v>
      </c>
      <c r="X75">
        <v>21.64</v>
      </c>
      <c r="Y75">
        <v>9.51</v>
      </c>
      <c r="Z75">
        <v>21.6</v>
      </c>
      <c r="AA75">
        <v>9.64</v>
      </c>
      <c r="AB75">
        <v>0.283356</v>
      </c>
      <c r="AC75">
        <v>8</v>
      </c>
      <c r="AD75">
        <v>27</v>
      </c>
      <c r="AE75" t="s">
        <v>106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13149.536272392301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141.16517737404499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13290.7014497664</v>
      </c>
      <c r="DA75" s="2">
        <f t="shared" si="7"/>
        <v>0</v>
      </c>
      <c r="DB75" s="2">
        <f t="shared" si="8"/>
        <v>0</v>
      </c>
      <c r="DC75" s="2">
        <f t="shared" si="9"/>
        <v>13149.536272392301</v>
      </c>
      <c r="DD75" s="2">
        <f t="shared" si="10"/>
        <v>0</v>
      </c>
      <c r="DE75" s="2">
        <f t="shared" si="11"/>
        <v>0</v>
      </c>
      <c r="DF75" s="2">
        <f t="shared" si="12"/>
        <v>0</v>
      </c>
      <c r="DG75" s="2">
        <f t="shared" si="13"/>
        <v>13149.536272392301</v>
      </c>
    </row>
    <row r="76" spans="1:111" x14ac:dyDescent="0.35">
      <c r="A76">
        <v>2015</v>
      </c>
      <c r="B76">
        <v>24</v>
      </c>
      <c r="C76">
        <v>120</v>
      </c>
      <c r="D76" s="1">
        <v>42243</v>
      </c>
      <c r="E76">
        <v>41.946666666666701</v>
      </c>
      <c r="F76">
        <v>-82.982333333333301</v>
      </c>
      <c r="G76">
        <v>41.940829999999998</v>
      </c>
      <c r="H76">
        <v>-82.974329999999995</v>
      </c>
      <c r="I76">
        <v>2.2000000000000002</v>
      </c>
      <c r="J76">
        <v>2.8</v>
      </c>
      <c r="K76">
        <v>0.51</v>
      </c>
      <c r="L76">
        <v>3.1</v>
      </c>
      <c r="M76">
        <v>8</v>
      </c>
      <c r="N76">
        <v>21.54</v>
      </c>
      <c r="O76">
        <v>9.76</v>
      </c>
      <c r="P76">
        <v>21.58</v>
      </c>
      <c r="Q76">
        <v>9.42</v>
      </c>
      <c r="R76">
        <v>9.3000000000000007</v>
      </c>
      <c r="S76">
        <v>21.58</v>
      </c>
      <c r="T76">
        <v>9.56</v>
      </c>
      <c r="U76">
        <v>9.4</v>
      </c>
      <c r="V76">
        <v>21.68</v>
      </c>
      <c r="W76">
        <v>10.039999999999999</v>
      </c>
      <c r="X76">
        <v>21.64</v>
      </c>
      <c r="Y76">
        <v>9.51</v>
      </c>
      <c r="Z76">
        <v>21.6</v>
      </c>
      <c r="AA76">
        <v>9.59</v>
      </c>
      <c r="AB76">
        <v>0.283356</v>
      </c>
      <c r="AC76">
        <v>8</v>
      </c>
      <c r="AD76">
        <v>27</v>
      </c>
      <c r="AE76" t="s">
        <v>106</v>
      </c>
      <c r="AF76" s="2">
        <v>0</v>
      </c>
      <c r="AG76" s="2">
        <v>0</v>
      </c>
      <c r="AH76" s="2">
        <v>0</v>
      </c>
      <c r="AI76" s="2">
        <v>14.1165177374045</v>
      </c>
      <c r="AJ76" s="2">
        <v>0</v>
      </c>
      <c r="AK76" s="2">
        <v>0</v>
      </c>
      <c r="AL76" s="2">
        <v>0</v>
      </c>
      <c r="AM76" s="2">
        <v>3.5291294343511299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536.42767402137201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3.5291294343511299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557.60245062747902</v>
      </c>
      <c r="DA76" s="2">
        <f t="shared" si="7"/>
        <v>0</v>
      </c>
      <c r="DB76" s="2">
        <f t="shared" si="8"/>
        <v>14.1165177374045</v>
      </c>
      <c r="DC76" s="2">
        <f t="shared" si="9"/>
        <v>536.42767402137201</v>
      </c>
      <c r="DD76" s="2">
        <f t="shared" si="10"/>
        <v>0</v>
      </c>
      <c r="DE76" s="2">
        <f t="shared" si="11"/>
        <v>3.5291294343511299</v>
      </c>
      <c r="DF76" s="2">
        <f t="shared" si="12"/>
        <v>0</v>
      </c>
      <c r="DG76" s="2">
        <f t="shared" si="13"/>
        <v>554.07332119312764</v>
      </c>
    </row>
    <row r="77" spans="1:111" x14ac:dyDescent="0.35">
      <c r="A77">
        <v>2015</v>
      </c>
      <c r="B77">
        <v>24</v>
      </c>
      <c r="C77">
        <v>121</v>
      </c>
      <c r="D77" s="1">
        <v>42243</v>
      </c>
      <c r="E77">
        <v>41.946166666666699</v>
      </c>
      <c r="F77">
        <v>-82.980833333333294</v>
      </c>
      <c r="G77">
        <v>41.94</v>
      </c>
      <c r="H77">
        <v>-82.972329999999999</v>
      </c>
      <c r="I77">
        <v>2.2000000000000002</v>
      </c>
      <c r="J77">
        <v>2.8</v>
      </c>
      <c r="K77">
        <v>0.52</v>
      </c>
      <c r="L77">
        <v>3.1</v>
      </c>
      <c r="M77">
        <v>9.1999999999999993</v>
      </c>
      <c r="N77">
        <v>21.54</v>
      </c>
      <c r="O77">
        <v>9.76</v>
      </c>
      <c r="P77">
        <v>21.58</v>
      </c>
      <c r="Q77">
        <v>9.42</v>
      </c>
      <c r="R77">
        <v>9.1999999999999993</v>
      </c>
      <c r="S77">
        <v>21.58</v>
      </c>
      <c r="T77">
        <v>9.42</v>
      </c>
      <c r="U77">
        <v>9.3000000000000007</v>
      </c>
      <c r="V77">
        <v>21.68</v>
      </c>
      <c r="W77">
        <v>10.039999999999999</v>
      </c>
      <c r="X77">
        <v>21.64</v>
      </c>
      <c r="Y77">
        <v>9.51</v>
      </c>
      <c r="Z77">
        <v>21.6</v>
      </c>
      <c r="AA77">
        <v>9.51</v>
      </c>
      <c r="AB77">
        <v>0.288912</v>
      </c>
      <c r="AC77">
        <v>8</v>
      </c>
      <c r="AD77">
        <v>27</v>
      </c>
      <c r="AE77" t="s">
        <v>104</v>
      </c>
      <c r="AF77" s="2">
        <v>0</v>
      </c>
      <c r="AG77" s="2">
        <v>0</v>
      </c>
      <c r="AH77" s="2">
        <v>0</v>
      </c>
      <c r="AI77" s="2">
        <v>10.383784681840799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3.4612615606136101</v>
      </c>
      <c r="BB77" s="2">
        <v>0</v>
      </c>
      <c r="BC77" s="2">
        <v>197.29190895497601</v>
      </c>
      <c r="BD77" s="2">
        <v>0</v>
      </c>
      <c r="BE77" s="2">
        <v>6.9225231212272202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6.9225231212272202</v>
      </c>
      <c r="BS77" s="2">
        <v>799.55142050174402</v>
      </c>
      <c r="BT77" s="2">
        <v>10.383784681840799</v>
      </c>
      <c r="BU77" s="2">
        <v>6.9225231212272202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2142.5209060198299</v>
      </c>
      <c r="CN77" s="2">
        <v>48.457661848590597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121.14415462147601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3353.9624522345898</v>
      </c>
      <c r="DA77" s="2">
        <f t="shared" si="7"/>
        <v>0</v>
      </c>
      <c r="DB77" s="2">
        <f t="shared" si="8"/>
        <v>10.383784681840799</v>
      </c>
      <c r="DC77" s="2">
        <f t="shared" si="9"/>
        <v>197.29190895497601</v>
      </c>
      <c r="DD77" s="2">
        <f t="shared" si="10"/>
        <v>6.9225231212272202</v>
      </c>
      <c r="DE77" s="2">
        <f t="shared" si="11"/>
        <v>6.9225231212272202</v>
      </c>
      <c r="DF77" s="2">
        <f t="shared" si="12"/>
        <v>2948.994849642801</v>
      </c>
      <c r="DG77" s="2">
        <f t="shared" si="13"/>
        <v>3170.5155895220723</v>
      </c>
    </row>
    <row r="78" spans="1:111" x14ac:dyDescent="0.35">
      <c r="A78">
        <v>2016</v>
      </c>
      <c r="B78">
        <v>18</v>
      </c>
      <c r="C78">
        <v>101</v>
      </c>
      <c r="D78" s="1">
        <v>42611</v>
      </c>
      <c r="E78">
        <v>41.697499999999998</v>
      </c>
      <c r="F78">
        <v>-82.560666666666705</v>
      </c>
      <c r="G78">
        <v>41.695500000000003</v>
      </c>
      <c r="H78">
        <v>-82.569829999999996</v>
      </c>
      <c r="I78">
        <v>2.8</v>
      </c>
      <c r="K78">
        <v>0.44</v>
      </c>
      <c r="L78">
        <v>2.7</v>
      </c>
      <c r="M78">
        <v>2</v>
      </c>
      <c r="N78">
        <v>25.2</v>
      </c>
      <c r="O78">
        <v>8.11</v>
      </c>
      <c r="P78">
        <v>23.9</v>
      </c>
      <c r="Q78">
        <v>4.53</v>
      </c>
      <c r="R78">
        <v>12.5</v>
      </c>
      <c r="S78">
        <v>25.22</v>
      </c>
      <c r="T78">
        <v>8.14</v>
      </c>
      <c r="U78">
        <v>12.9</v>
      </c>
      <c r="AB78">
        <v>0.24446399999999999</v>
      </c>
      <c r="AC78">
        <v>8</v>
      </c>
      <c r="AD78">
        <v>29</v>
      </c>
      <c r="AE78" t="s">
        <v>105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24.543491066169299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8.1811636887230801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32.724654754892299</v>
      </c>
      <c r="DA78" s="2">
        <f t="shared" si="7"/>
        <v>0</v>
      </c>
      <c r="DB78" s="2">
        <f t="shared" si="8"/>
        <v>0</v>
      </c>
      <c r="DC78" s="2">
        <f t="shared" si="9"/>
        <v>0</v>
      </c>
      <c r="DD78" s="2">
        <f t="shared" si="10"/>
        <v>0</v>
      </c>
      <c r="DE78" s="2">
        <f t="shared" si="11"/>
        <v>24.543491066169299</v>
      </c>
      <c r="DF78" s="2">
        <f t="shared" si="12"/>
        <v>0</v>
      </c>
      <c r="DG78" s="2">
        <f t="shared" si="13"/>
        <v>24.543491066169299</v>
      </c>
    </row>
    <row r="79" spans="1:111" x14ac:dyDescent="0.35">
      <c r="A79">
        <v>2016</v>
      </c>
      <c r="B79">
        <v>18</v>
      </c>
      <c r="C79">
        <v>102</v>
      </c>
      <c r="D79" s="1">
        <v>42611</v>
      </c>
      <c r="E79">
        <v>41.6995</v>
      </c>
      <c r="F79">
        <v>-82.557833333333306</v>
      </c>
      <c r="G79">
        <v>41.696170000000002</v>
      </c>
      <c r="H79">
        <v>-82.567170000000004</v>
      </c>
      <c r="I79">
        <v>2.9</v>
      </c>
      <c r="J79">
        <v>2.5</v>
      </c>
      <c r="K79">
        <v>0.48</v>
      </c>
      <c r="L79">
        <v>2.7</v>
      </c>
      <c r="M79">
        <v>6</v>
      </c>
      <c r="N79">
        <v>25.19</v>
      </c>
      <c r="O79">
        <v>7.87</v>
      </c>
      <c r="P79">
        <v>24.08</v>
      </c>
      <c r="Q79">
        <v>4.75</v>
      </c>
      <c r="R79">
        <v>12.6</v>
      </c>
      <c r="S79">
        <v>25.21</v>
      </c>
      <c r="T79">
        <v>7.75</v>
      </c>
      <c r="V79">
        <v>25.22</v>
      </c>
      <c r="W79">
        <v>7363</v>
      </c>
      <c r="X79">
        <v>24.81</v>
      </c>
      <c r="Y79">
        <v>6.56</v>
      </c>
      <c r="Z79">
        <v>25.2</v>
      </c>
      <c r="AA79">
        <v>7.49</v>
      </c>
      <c r="AB79">
        <v>0.26668799999999998</v>
      </c>
      <c r="AC79">
        <v>8</v>
      </c>
      <c r="AD79">
        <v>29</v>
      </c>
      <c r="AE79" t="s">
        <v>106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3.7497000239980798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3.7497000239980798</v>
      </c>
      <c r="DA79" s="2">
        <f t="shared" si="7"/>
        <v>0</v>
      </c>
      <c r="DB79" s="2">
        <f t="shared" si="8"/>
        <v>0</v>
      </c>
      <c r="DC79" s="2">
        <f t="shared" si="9"/>
        <v>0</v>
      </c>
      <c r="DD79" s="2">
        <f t="shared" si="10"/>
        <v>0</v>
      </c>
      <c r="DE79" s="2">
        <f t="shared" si="11"/>
        <v>3.7497000239980798</v>
      </c>
      <c r="DF79" s="2">
        <f t="shared" si="12"/>
        <v>0</v>
      </c>
      <c r="DG79" s="2">
        <f t="shared" si="13"/>
        <v>3.7497000239980798</v>
      </c>
    </row>
    <row r="80" spans="1:111" x14ac:dyDescent="0.35">
      <c r="A80">
        <v>2016</v>
      </c>
      <c r="B80">
        <v>18</v>
      </c>
      <c r="C80">
        <v>103</v>
      </c>
      <c r="D80" s="1">
        <v>42611</v>
      </c>
      <c r="E80">
        <v>41.699166666666699</v>
      </c>
      <c r="F80">
        <v>-82.556166666666698</v>
      </c>
      <c r="G80">
        <v>41.696170000000002</v>
      </c>
      <c r="H80">
        <v>-82.564999999999998</v>
      </c>
      <c r="I80">
        <v>4.7</v>
      </c>
      <c r="J80">
        <v>3.4</v>
      </c>
      <c r="K80">
        <v>0.47</v>
      </c>
      <c r="L80">
        <v>4.7</v>
      </c>
      <c r="M80">
        <v>10</v>
      </c>
      <c r="N80">
        <v>25.25</v>
      </c>
      <c r="O80">
        <v>7.04</v>
      </c>
      <c r="P80">
        <v>24.23</v>
      </c>
      <c r="Q80">
        <v>4.1399999999999997</v>
      </c>
      <c r="R80">
        <v>12.1</v>
      </c>
      <c r="S80">
        <v>24.27</v>
      </c>
      <c r="T80">
        <v>5.45</v>
      </c>
      <c r="U80">
        <v>12.1</v>
      </c>
      <c r="V80">
        <v>25.3</v>
      </c>
      <c r="W80">
        <v>6.6</v>
      </c>
      <c r="X80">
        <v>24.86</v>
      </c>
      <c r="Y80">
        <v>5.86</v>
      </c>
      <c r="Z80">
        <v>24.9</v>
      </c>
      <c r="AA80">
        <v>6.12</v>
      </c>
      <c r="AB80">
        <v>0.26113199999999998</v>
      </c>
      <c r="AC80">
        <v>8</v>
      </c>
      <c r="AD80">
        <v>29</v>
      </c>
      <c r="AE80" t="s">
        <v>106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3.8294808755725098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3.8294808755725098</v>
      </c>
      <c r="DA80" s="2">
        <f t="shared" si="7"/>
        <v>0</v>
      </c>
      <c r="DB80" s="2">
        <f t="shared" si="8"/>
        <v>0</v>
      </c>
      <c r="DC80" s="2">
        <f t="shared" si="9"/>
        <v>0</v>
      </c>
      <c r="DD80" s="2">
        <f t="shared" si="10"/>
        <v>0</v>
      </c>
      <c r="DE80" s="2">
        <f t="shared" si="11"/>
        <v>3.8294808755725098</v>
      </c>
      <c r="DF80" s="2">
        <f t="shared" si="12"/>
        <v>0</v>
      </c>
      <c r="DG80" s="2">
        <f t="shared" si="13"/>
        <v>3.8294808755725098</v>
      </c>
    </row>
    <row r="81" spans="1:111" x14ac:dyDescent="0.35">
      <c r="A81">
        <v>2016</v>
      </c>
      <c r="B81">
        <v>18</v>
      </c>
      <c r="C81">
        <v>104</v>
      </c>
      <c r="D81" s="1">
        <v>42611</v>
      </c>
      <c r="E81">
        <v>41.6963333333333</v>
      </c>
      <c r="F81">
        <v>-82.566999999999993</v>
      </c>
      <c r="G81">
        <v>41.695169999999997</v>
      </c>
      <c r="H81">
        <v>-82.577169999999995</v>
      </c>
      <c r="I81">
        <v>4.4000000000000004</v>
      </c>
      <c r="J81">
        <v>3.4</v>
      </c>
      <c r="K81">
        <v>0.46</v>
      </c>
      <c r="L81">
        <v>2.7</v>
      </c>
      <c r="M81">
        <v>12</v>
      </c>
      <c r="N81">
        <v>25.3</v>
      </c>
      <c r="O81">
        <v>6.03</v>
      </c>
      <c r="P81">
        <v>24.88</v>
      </c>
      <c r="Q81">
        <v>5.5</v>
      </c>
      <c r="R81">
        <v>12.2</v>
      </c>
      <c r="S81">
        <v>24.92</v>
      </c>
      <c r="T81">
        <v>5.59</v>
      </c>
      <c r="U81">
        <v>12</v>
      </c>
      <c r="V81">
        <v>25.35</v>
      </c>
      <c r="W81">
        <v>5.75</v>
      </c>
      <c r="X81">
        <v>24.73</v>
      </c>
      <c r="Y81">
        <v>4.55</v>
      </c>
      <c r="Z81">
        <v>24.7</v>
      </c>
      <c r="AA81">
        <v>4.46</v>
      </c>
      <c r="AB81">
        <v>0.25557600000000003</v>
      </c>
      <c r="AC81">
        <v>8</v>
      </c>
      <c r="AD81">
        <v>29</v>
      </c>
      <c r="AE81" t="s">
        <v>104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3.91273045982408</v>
      </c>
      <c r="BS81" s="2">
        <v>579.08410805396397</v>
      </c>
      <c r="BT81" s="2">
        <v>140.858296553667</v>
      </c>
      <c r="BU81" s="2">
        <v>31.3018436785927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363.88393276364002</v>
      </c>
      <c r="CN81" s="2">
        <v>160.42194885278701</v>
      </c>
      <c r="CO81" s="2">
        <v>7.8254609196481697</v>
      </c>
      <c r="CP81" s="2">
        <v>105.64372241525</v>
      </c>
      <c r="CQ81" s="2">
        <v>0</v>
      </c>
      <c r="CR81" s="2">
        <v>0</v>
      </c>
      <c r="CS81" s="2">
        <v>0</v>
      </c>
      <c r="CT81" s="2">
        <v>0</v>
      </c>
      <c r="CU81" s="2">
        <v>11.7381913794722</v>
      </c>
      <c r="CV81" s="2">
        <v>0</v>
      </c>
      <c r="CW81" s="2">
        <v>0</v>
      </c>
      <c r="CX81" s="2">
        <v>43.040035058064902</v>
      </c>
      <c r="CY81" s="2">
        <v>0</v>
      </c>
      <c r="CZ81" s="2">
        <v>1447.7102701349099</v>
      </c>
      <c r="DA81" s="2">
        <f t="shared" si="7"/>
        <v>0</v>
      </c>
      <c r="DB81" s="2">
        <f t="shared" si="8"/>
        <v>0</v>
      </c>
      <c r="DC81" s="2">
        <f t="shared" si="9"/>
        <v>0</v>
      </c>
      <c r="DD81" s="2">
        <f t="shared" si="10"/>
        <v>0</v>
      </c>
      <c r="DE81" s="2">
        <f t="shared" si="11"/>
        <v>15.650921839296281</v>
      </c>
      <c r="DF81" s="2">
        <f t="shared" si="12"/>
        <v>982.09534541584492</v>
      </c>
      <c r="DG81" s="2">
        <f t="shared" si="13"/>
        <v>997.74626725514122</v>
      </c>
    </row>
    <row r="82" spans="1:111" x14ac:dyDescent="0.35">
      <c r="A82">
        <v>2016</v>
      </c>
      <c r="B82">
        <v>12</v>
      </c>
      <c r="C82">
        <v>105</v>
      </c>
      <c r="D82" s="1">
        <v>42612</v>
      </c>
      <c r="E82">
        <v>41.951333333333302</v>
      </c>
      <c r="F82">
        <v>-82.692666666666696</v>
      </c>
      <c r="G82">
        <v>41.956499999999998</v>
      </c>
      <c r="H82">
        <v>-82.685329999999993</v>
      </c>
      <c r="I82">
        <v>2.2000000000000002</v>
      </c>
      <c r="J82">
        <v>2.2000000000000002</v>
      </c>
      <c r="K82">
        <v>0.47</v>
      </c>
      <c r="L82">
        <v>2.8</v>
      </c>
      <c r="M82">
        <v>4</v>
      </c>
      <c r="N82">
        <v>25.7</v>
      </c>
      <c r="O82">
        <v>7.63</v>
      </c>
      <c r="P82">
        <v>25.39</v>
      </c>
      <c r="Q82">
        <v>7.46</v>
      </c>
      <c r="R82">
        <v>10.8</v>
      </c>
      <c r="S82">
        <v>25.6</v>
      </c>
      <c r="T82">
        <v>7.78</v>
      </c>
      <c r="V82">
        <v>25.71</v>
      </c>
      <c r="W82">
        <v>7.63</v>
      </c>
      <c r="X82">
        <v>24.3</v>
      </c>
      <c r="Y82">
        <v>3.92</v>
      </c>
      <c r="Z82">
        <v>25.6</v>
      </c>
      <c r="AA82">
        <v>6.68</v>
      </c>
      <c r="AB82">
        <v>0.26113199999999998</v>
      </c>
      <c r="AC82">
        <v>8</v>
      </c>
      <c r="AD82">
        <v>30</v>
      </c>
      <c r="AE82" t="s">
        <v>105</v>
      </c>
      <c r="AF82" s="2">
        <v>0</v>
      </c>
      <c r="AG82" s="2">
        <v>0</v>
      </c>
      <c r="AH82" s="2">
        <v>0</v>
      </c>
      <c r="AI82" s="2">
        <v>34.4653278801526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704.62448110534103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7.6589617511450196</v>
      </c>
      <c r="CQ82" s="2">
        <v>0</v>
      </c>
      <c r="CR82" s="2">
        <v>0</v>
      </c>
      <c r="CS82" s="2">
        <v>0</v>
      </c>
      <c r="CT82" s="2">
        <v>45.9537705068701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792.70254124350902</v>
      </c>
      <c r="DA82" s="2">
        <f t="shared" si="7"/>
        <v>0</v>
      </c>
      <c r="DB82" s="2">
        <f t="shared" si="8"/>
        <v>34.4653278801526</v>
      </c>
      <c r="DC82" s="2">
        <f t="shared" si="9"/>
        <v>704.62448110534103</v>
      </c>
      <c r="DD82" s="2">
        <f t="shared" si="10"/>
        <v>0</v>
      </c>
      <c r="DE82" s="2">
        <f t="shared" si="11"/>
        <v>0</v>
      </c>
      <c r="DF82" s="2">
        <f t="shared" si="12"/>
        <v>0</v>
      </c>
      <c r="DG82" s="2">
        <f t="shared" si="13"/>
        <v>739.08980898549362</v>
      </c>
    </row>
    <row r="83" spans="1:111" x14ac:dyDescent="0.35">
      <c r="A83">
        <v>2016</v>
      </c>
      <c r="B83">
        <v>12</v>
      </c>
      <c r="C83">
        <v>106</v>
      </c>
      <c r="D83" s="1">
        <v>42612</v>
      </c>
      <c r="E83">
        <v>41.955833333333302</v>
      </c>
      <c r="F83">
        <v>-82.683166666666693</v>
      </c>
      <c r="G83">
        <v>41.948</v>
      </c>
      <c r="H83">
        <v>-82.684669999999997</v>
      </c>
      <c r="I83">
        <v>2.2000000000000002</v>
      </c>
      <c r="J83">
        <v>2</v>
      </c>
      <c r="K83">
        <v>0.47</v>
      </c>
      <c r="L83">
        <v>2.7</v>
      </c>
      <c r="M83">
        <v>8</v>
      </c>
      <c r="N83">
        <v>25.71</v>
      </c>
      <c r="O83">
        <v>7.63</v>
      </c>
      <c r="P83">
        <v>24.3</v>
      </c>
      <c r="Q83">
        <v>3.92</v>
      </c>
      <c r="R83">
        <v>10.9</v>
      </c>
      <c r="S83">
        <v>25.34</v>
      </c>
      <c r="T83">
        <v>4.41</v>
      </c>
      <c r="V83">
        <v>25.84</v>
      </c>
      <c r="W83">
        <v>5.91</v>
      </c>
      <c r="X83">
        <v>25.36</v>
      </c>
      <c r="Y83">
        <v>4.51</v>
      </c>
      <c r="AB83">
        <v>0.26113199999999998</v>
      </c>
      <c r="AC83">
        <v>8</v>
      </c>
      <c r="AD83">
        <v>30</v>
      </c>
      <c r="AE83" t="s">
        <v>106</v>
      </c>
      <c r="AF83" s="2">
        <v>0</v>
      </c>
      <c r="AG83" s="2">
        <v>0</v>
      </c>
      <c r="AH83" s="2">
        <v>0</v>
      </c>
      <c r="AI83" s="2">
        <v>210.62144815648799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2370.4486619793802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3.8294808755725098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11.4884426267175</v>
      </c>
      <c r="CQ83" s="2">
        <v>3.8294808755725098</v>
      </c>
      <c r="CR83" s="2">
        <v>0</v>
      </c>
      <c r="CS83" s="2">
        <v>0</v>
      </c>
      <c r="CT83" s="2">
        <v>394.43653018396799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2994.6540446977001</v>
      </c>
      <c r="DA83" s="2">
        <f t="shared" si="7"/>
        <v>0</v>
      </c>
      <c r="DB83" s="2">
        <f t="shared" si="8"/>
        <v>210.62144815648799</v>
      </c>
      <c r="DC83" s="2">
        <f t="shared" si="9"/>
        <v>2370.4486619793802</v>
      </c>
      <c r="DD83" s="2">
        <f t="shared" si="10"/>
        <v>0</v>
      </c>
      <c r="DE83" s="2">
        <f t="shared" si="11"/>
        <v>0</v>
      </c>
      <c r="DF83" s="2">
        <f t="shared" si="12"/>
        <v>3.8294808755725098</v>
      </c>
      <c r="DG83" s="2">
        <f t="shared" si="13"/>
        <v>2584.8995910114409</v>
      </c>
    </row>
    <row r="84" spans="1:111" x14ac:dyDescent="0.35">
      <c r="A84">
        <v>2016</v>
      </c>
      <c r="B84">
        <v>12</v>
      </c>
      <c r="C84">
        <v>107</v>
      </c>
      <c r="D84" s="1">
        <v>42612</v>
      </c>
      <c r="E84">
        <v>41.951333333333302</v>
      </c>
      <c r="F84">
        <v>-82.713166666666694</v>
      </c>
      <c r="G84">
        <v>41.957830000000001</v>
      </c>
      <c r="H84">
        <v>-82.674329999999998</v>
      </c>
      <c r="I84">
        <v>2</v>
      </c>
      <c r="J84">
        <v>2</v>
      </c>
      <c r="K84">
        <v>0.46</v>
      </c>
      <c r="L84">
        <v>2.6</v>
      </c>
      <c r="M84">
        <v>10.9</v>
      </c>
      <c r="N84">
        <v>25.85</v>
      </c>
      <c r="O84">
        <v>4.2699999999999996</v>
      </c>
      <c r="P84">
        <v>25.32</v>
      </c>
      <c r="Q84">
        <v>4.05</v>
      </c>
      <c r="R84">
        <v>10.9</v>
      </c>
      <c r="S84">
        <v>25.32</v>
      </c>
      <c r="T84">
        <v>4.05</v>
      </c>
      <c r="V84">
        <v>25.87</v>
      </c>
      <c r="W84">
        <v>4.03</v>
      </c>
      <c r="X84">
        <v>24.76</v>
      </c>
      <c r="Y84">
        <v>3.22</v>
      </c>
      <c r="AB84">
        <v>0.25557600000000003</v>
      </c>
      <c r="AC84">
        <v>8</v>
      </c>
      <c r="AD84">
        <v>30</v>
      </c>
      <c r="AE84" t="s">
        <v>104</v>
      </c>
      <c r="AF84" s="2">
        <v>0</v>
      </c>
      <c r="AG84" s="2">
        <v>0</v>
      </c>
      <c r="AH84" s="2">
        <v>0</v>
      </c>
      <c r="AI84" s="2">
        <v>524.30588161642697</v>
      </c>
      <c r="AJ84" s="2">
        <v>0</v>
      </c>
      <c r="AK84" s="2">
        <v>0</v>
      </c>
      <c r="AL84" s="2">
        <v>0</v>
      </c>
      <c r="AM84" s="2">
        <v>7.8254609196481697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2363.2891977337499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50.865495977713103</v>
      </c>
      <c r="BT84" s="2">
        <v>23.476382758944499</v>
      </c>
      <c r="BU84" s="2">
        <v>7.8254609196481697</v>
      </c>
      <c r="BV84" s="2">
        <v>3.91273045982408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86.080070116129804</v>
      </c>
      <c r="CO84" s="2">
        <v>7.8254609196481697</v>
      </c>
      <c r="CP84" s="2">
        <v>89.992800575953893</v>
      </c>
      <c r="CQ84" s="2">
        <v>0</v>
      </c>
      <c r="CR84" s="2">
        <v>0</v>
      </c>
      <c r="CS84" s="2">
        <v>0</v>
      </c>
      <c r="CT84" s="2">
        <v>532.13134253607495</v>
      </c>
      <c r="CU84" s="2">
        <v>0</v>
      </c>
      <c r="CV84" s="2">
        <v>0</v>
      </c>
      <c r="CW84" s="2">
        <v>0</v>
      </c>
      <c r="CX84" s="2">
        <v>3.91273045982408</v>
      </c>
      <c r="CY84" s="2">
        <v>0</v>
      </c>
      <c r="CZ84" s="2">
        <v>3701.4430149935802</v>
      </c>
      <c r="DA84" s="2">
        <f t="shared" si="7"/>
        <v>0</v>
      </c>
      <c r="DB84" s="2">
        <f t="shared" si="8"/>
        <v>524.30588161642697</v>
      </c>
      <c r="DC84" s="2">
        <f t="shared" si="9"/>
        <v>2363.2891977337499</v>
      </c>
      <c r="DD84" s="2">
        <f t="shared" si="10"/>
        <v>0</v>
      </c>
      <c r="DE84" s="2">
        <f t="shared" si="11"/>
        <v>7.8254609196481697</v>
      </c>
      <c r="DF84" s="2">
        <f t="shared" si="12"/>
        <v>66.51641781700944</v>
      </c>
      <c r="DG84" s="2">
        <f t="shared" si="13"/>
        <v>2961.9369580868347</v>
      </c>
    </row>
    <row r="85" spans="1:111" x14ac:dyDescent="0.35">
      <c r="A85">
        <v>2016</v>
      </c>
      <c r="B85">
        <v>19</v>
      </c>
      <c r="C85">
        <v>108</v>
      </c>
      <c r="D85" s="1">
        <v>42612</v>
      </c>
      <c r="E85">
        <v>42.006666666666703</v>
      </c>
      <c r="F85">
        <v>-82.584666666666706</v>
      </c>
      <c r="G85">
        <v>42.01417</v>
      </c>
      <c r="H85">
        <v>-82.582830000000001</v>
      </c>
      <c r="I85">
        <v>2.1</v>
      </c>
      <c r="J85">
        <v>1.9</v>
      </c>
      <c r="K85">
        <v>0.47</v>
      </c>
      <c r="L85">
        <v>2.7</v>
      </c>
      <c r="M85">
        <v>4</v>
      </c>
      <c r="N85">
        <v>25.89</v>
      </c>
      <c r="O85">
        <v>4.93</v>
      </c>
      <c r="P85">
        <v>24.34</v>
      </c>
      <c r="Q85">
        <v>3.78</v>
      </c>
      <c r="R85">
        <v>8.3000000000000007</v>
      </c>
      <c r="S85">
        <v>25.65</v>
      </c>
      <c r="T85">
        <v>5.13</v>
      </c>
      <c r="V85">
        <v>25.86</v>
      </c>
      <c r="W85">
        <v>5.35</v>
      </c>
      <c r="X85">
        <v>25.95</v>
      </c>
      <c r="Y85">
        <v>5.3</v>
      </c>
      <c r="Z85">
        <v>25.9</v>
      </c>
      <c r="AA85">
        <v>5.36</v>
      </c>
      <c r="AB85">
        <v>0.26113199999999998</v>
      </c>
      <c r="AC85">
        <v>8</v>
      </c>
      <c r="AD85">
        <v>30</v>
      </c>
      <c r="AE85" t="s">
        <v>105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57.4422131335876</v>
      </c>
      <c r="BT85" s="2">
        <v>0</v>
      </c>
      <c r="BU85" s="2">
        <v>3.8294808755725098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61.2716940091601</v>
      </c>
      <c r="DA85" s="2">
        <f t="shared" si="7"/>
        <v>0</v>
      </c>
      <c r="DB85" s="2">
        <f t="shared" si="8"/>
        <v>0</v>
      </c>
      <c r="DC85" s="2">
        <f t="shared" si="9"/>
        <v>0</v>
      </c>
      <c r="DD85" s="2">
        <f t="shared" si="10"/>
        <v>0</v>
      </c>
      <c r="DE85" s="2">
        <f t="shared" si="11"/>
        <v>0</v>
      </c>
      <c r="DF85" s="2">
        <f t="shared" si="12"/>
        <v>61.271694009160107</v>
      </c>
      <c r="DG85" s="2">
        <f t="shared" si="13"/>
        <v>61.271694009160107</v>
      </c>
    </row>
    <row r="86" spans="1:111" x14ac:dyDescent="0.35">
      <c r="A86">
        <v>2016</v>
      </c>
      <c r="B86">
        <v>19</v>
      </c>
      <c r="C86">
        <v>109</v>
      </c>
      <c r="D86" s="1">
        <v>42612</v>
      </c>
      <c r="E86">
        <v>42.0043333333333</v>
      </c>
      <c r="F86">
        <v>-82.586833333333303</v>
      </c>
      <c r="G86">
        <v>41.996670000000002</v>
      </c>
      <c r="H86">
        <v>-82.585329999999999</v>
      </c>
      <c r="I86">
        <v>1.9</v>
      </c>
      <c r="J86">
        <v>2.7</v>
      </c>
      <c r="K86">
        <v>0.47</v>
      </c>
      <c r="L86">
        <v>2.7</v>
      </c>
      <c r="M86">
        <v>8.6</v>
      </c>
      <c r="N86">
        <v>25.88</v>
      </c>
      <c r="O86">
        <v>5.1100000000000003</v>
      </c>
      <c r="P86">
        <v>21.41</v>
      </c>
      <c r="Q86">
        <v>1.37</v>
      </c>
      <c r="R86">
        <v>8.6</v>
      </c>
      <c r="S86">
        <v>21.41</v>
      </c>
      <c r="T86">
        <v>1.37</v>
      </c>
      <c r="U86">
        <v>9.1999999999999993</v>
      </c>
      <c r="V86">
        <v>25.82</v>
      </c>
      <c r="W86">
        <v>5.36</v>
      </c>
      <c r="X86">
        <v>18.97</v>
      </c>
      <c r="Y86">
        <v>0.92</v>
      </c>
      <c r="Z86">
        <v>18.899999999999999</v>
      </c>
      <c r="AA86">
        <v>0.83</v>
      </c>
      <c r="AB86">
        <v>0.26113199999999998</v>
      </c>
      <c r="AC86">
        <v>8</v>
      </c>
      <c r="AD86">
        <v>30</v>
      </c>
      <c r="AE86" t="s">
        <v>104</v>
      </c>
      <c r="AF86" s="2">
        <v>0</v>
      </c>
      <c r="AG86" s="2">
        <v>0</v>
      </c>
      <c r="AH86" s="2">
        <v>0</v>
      </c>
      <c r="AI86" s="2">
        <v>11.4884426267175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7.6589617511450196</v>
      </c>
      <c r="BT86" s="2">
        <v>857.80371612824194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80.4190983870227</v>
      </c>
      <c r="CO86" s="2">
        <v>0</v>
      </c>
      <c r="CP86" s="2">
        <v>38.2948087557251</v>
      </c>
      <c r="CQ86" s="2">
        <v>3.8294808755725098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3.8294808755725098</v>
      </c>
      <c r="CY86" s="2">
        <v>0</v>
      </c>
      <c r="CZ86" s="2">
        <v>1003.3239894</v>
      </c>
      <c r="DA86" s="2">
        <f t="shared" si="7"/>
        <v>0</v>
      </c>
      <c r="DB86" s="2">
        <f t="shared" si="8"/>
        <v>11.4884426267175</v>
      </c>
      <c r="DC86" s="2">
        <f t="shared" si="9"/>
        <v>0</v>
      </c>
      <c r="DD86" s="2">
        <f t="shared" si="10"/>
        <v>0</v>
      </c>
      <c r="DE86" s="2">
        <f t="shared" si="11"/>
        <v>0</v>
      </c>
      <c r="DF86" s="2">
        <f t="shared" si="12"/>
        <v>7.6589617511450196</v>
      </c>
      <c r="DG86" s="2">
        <f t="shared" si="13"/>
        <v>19.147404377862522</v>
      </c>
    </row>
    <row r="87" spans="1:111" x14ac:dyDescent="0.35">
      <c r="A87">
        <v>2016</v>
      </c>
      <c r="B87">
        <v>22</v>
      </c>
      <c r="C87">
        <v>110</v>
      </c>
      <c r="D87" s="1">
        <v>42613</v>
      </c>
      <c r="E87">
        <v>41.777500000000003</v>
      </c>
      <c r="F87">
        <v>-82.775333333333293</v>
      </c>
      <c r="G87">
        <v>41.772829999999999</v>
      </c>
      <c r="H87">
        <v>-82.767330000000001</v>
      </c>
      <c r="I87">
        <v>2</v>
      </c>
      <c r="J87">
        <v>2.1</v>
      </c>
      <c r="K87">
        <v>0.47</v>
      </c>
      <c r="L87">
        <v>2.7</v>
      </c>
      <c r="M87">
        <v>8.5</v>
      </c>
      <c r="N87">
        <v>25.8</v>
      </c>
      <c r="O87">
        <v>7.5</v>
      </c>
      <c r="P87">
        <v>25.8</v>
      </c>
      <c r="Q87">
        <v>7.12</v>
      </c>
      <c r="R87">
        <v>8.5</v>
      </c>
      <c r="S87">
        <v>25.8</v>
      </c>
      <c r="T87">
        <v>7.12</v>
      </c>
      <c r="U87">
        <v>8.5</v>
      </c>
      <c r="V87">
        <v>25.74</v>
      </c>
      <c r="W87">
        <v>7.64</v>
      </c>
      <c r="X87">
        <v>25.44</v>
      </c>
      <c r="Y87">
        <v>6.8</v>
      </c>
      <c r="Z87">
        <v>25.4</v>
      </c>
      <c r="AA87">
        <v>5.24</v>
      </c>
      <c r="AB87">
        <v>0.26113199999999998</v>
      </c>
      <c r="AC87">
        <v>8</v>
      </c>
      <c r="AD87">
        <v>31</v>
      </c>
      <c r="AE87" t="s">
        <v>104</v>
      </c>
      <c r="AF87" s="2">
        <v>0</v>
      </c>
      <c r="AG87" s="2">
        <v>0</v>
      </c>
      <c r="AH87" s="2">
        <v>0</v>
      </c>
      <c r="AI87" s="2">
        <v>291.04054654351103</v>
      </c>
      <c r="AJ87" s="2">
        <v>0</v>
      </c>
      <c r="AK87" s="2">
        <v>0</v>
      </c>
      <c r="AL87" s="2">
        <v>0</v>
      </c>
      <c r="AM87" s="2">
        <v>3.8294808755725098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19.1474043778625</v>
      </c>
      <c r="BC87" s="2">
        <v>222.109890783205</v>
      </c>
      <c r="BD87" s="2">
        <v>0</v>
      </c>
      <c r="BE87" s="2">
        <v>3.8294808755725098</v>
      </c>
      <c r="BF87" s="2">
        <v>0</v>
      </c>
      <c r="BG87" s="2">
        <v>183.81508202748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11.4884426267175</v>
      </c>
      <c r="BQ87" s="2">
        <v>0</v>
      </c>
      <c r="BR87" s="2">
        <v>7.6589617511450196</v>
      </c>
      <c r="BS87" s="2">
        <v>685.47707672747902</v>
      </c>
      <c r="BT87" s="2">
        <v>11.4884426267175</v>
      </c>
      <c r="BU87" s="2">
        <v>3.8294808755725098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183.81508202748</v>
      </c>
      <c r="CN87" s="2">
        <v>99.5665027648852</v>
      </c>
      <c r="CO87" s="2">
        <v>19.1474043778625</v>
      </c>
      <c r="CP87" s="2">
        <v>57.4422131335876</v>
      </c>
      <c r="CQ87" s="2">
        <v>3.8294808755725098</v>
      </c>
      <c r="CR87" s="2">
        <v>0</v>
      </c>
      <c r="CS87" s="2">
        <v>0</v>
      </c>
      <c r="CT87" s="2">
        <v>248.91625691221299</v>
      </c>
      <c r="CU87" s="2">
        <v>26.8063661290076</v>
      </c>
      <c r="CV87" s="2">
        <v>0</v>
      </c>
      <c r="CW87" s="2">
        <v>0</v>
      </c>
      <c r="CX87" s="2">
        <v>49.7832513824426</v>
      </c>
      <c r="CY87" s="2">
        <v>0</v>
      </c>
      <c r="CZ87" s="2">
        <v>2133.0208476938901</v>
      </c>
      <c r="DA87" s="2">
        <f t="shared" si="7"/>
        <v>0</v>
      </c>
      <c r="DB87" s="2">
        <f t="shared" si="8"/>
        <v>291.04054654351103</v>
      </c>
      <c r="DC87" s="2">
        <f t="shared" si="9"/>
        <v>222.109890783205</v>
      </c>
      <c r="DD87" s="2">
        <f t="shared" si="10"/>
        <v>187.6445629030525</v>
      </c>
      <c r="DE87" s="2">
        <f t="shared" si="11"/>
        <v>57.442213133587629</v>
      </c>
      <c r="DF87" s="2">
        <f t="shared" si="12"/>
        <v>892.26904400839396</v>
      </c>
      <c r="DG87" s="2">
        <f t="shared" si="13"/>
        <v>1650.5062573717501</v>
      </c>
    </row>
    <row r="88" spans="1:111" x14ac:dyDescent="0.35">
      <c r="A88">
        <v>2016</v>
      </c>
      <c r="B88">
        <v>22</v>
      </c>
      <c r="C88">
        <v>111</v>
      </c>
      <c r="D88" s="1">
        <v>42613</v>
      </c>
      <c r="E88">
        <v>41.7768333333333</v>
      </c>
      <c r="F88">
        <v>-82.776333333333298</v>
      </c>
      <c r="G88">
        <v>41.771169999999998</v>
      </c>
      <c r="H88">
        <v>-82.769670000000005</v>
      </c>
      <c r="I88">
        <v>2</v>
      </c>
      <c r="J88">
        <v>2.1</v>
      </c>
      <c r="K88">
        <v>0.46</v>
      </c>
      <c r="L88">
        <v>2.7</v>
      </c>
      <c r="M88">
        <v>5</v>
      </c>
      <c r="N88">
        <v>25.75</v>
      </c>
      <c r="O88">
        <v>4.1100000000000003</v>
      </c>
      <c r="P88">
        <v>25.6</v>
      </c>
      <c r="Q88">
        <v>2.85</v>
      </c>
      <c r="R88">
        <v>8.4</v>
      </c>
      <c r="S88">
        <v>25.84</v>
      </c>
      <c r="T88">
        <v>3.63</v>
      </c>
      <c r="U88">
        <v>8.6999999999999993</v>
      </c>
      <c r="V88">
        <v>25.8</v>
      </c>
      <c r="W88">
        <v>2.76</v>
      </c>
      <c r="X88">
        <v>25.41</v>
      </c>
      <c r="Y88">
        <v>2.48</v>
      </c>
      <c r="Z88">
        <v>25.8</v>
      </c>
      <c r="AA88">
        <v>2.69</v>
      </c>
      <c r="AB88">
        <v>0.25557600000000003</v>
      </c>
      <c r="AC88">
        <v>8</v>
      </c>
      <c r="AD88">
        <v>31</v>
      </c>
      <c r="AE88" t="s">
        <v>105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f t="shared" si="7"/>
        <v>0</v>
      </c>
      <c r="DB88" s="2">
        <f t="shared" si="8"/>
        <v>0</v>
      </c>
      <c r="DC88" s="2">
        <f t="shared" si="9"/>
        <v>0</v>
      </c>
      <c r="DD88" s="2">
        <f t="shared" si="10"/>
        <v>0</v>
      </c>
      <c r="DE88" s="2">
        <f t="shared" si="11"/>
        <v>0</v>
      </c>
      <c r="DF88" s="2">
        <f t="shared" si="12"/>
        <v>0</v>
      </c>
      <c r="DG88" s="2">
        <f t="shared" si="13"/>
        <v>0</v>
      </c>
    </row>
    <row r="89" spans="1:111" x14ac:dyDescent="0.35">
      <c r="A89">
        <v>2016</v>
      </c>
      <c r="B89">
        <v>8</v>
      </c>
      <c r="C89">
        <v>112</v>
      </c>
      <c r="D89" s="1">
        <v>42613</v>
      </c>
      <c r="E89">
        <v>41.822166666666703</v>
      </c>
      <c r="F89">
        <v>-82.892666666666699</v>
      </c>
      <c r="G89">
        <v>41.8185</v>
      </c>
      <c r="H89">
        <v>-82.883330000000001</v>
      </c>
      <c r="I89">
        <v>1.7</v>
      </c>
      <c r="J89">
        <v>2.2000000000000002</v>
      </c>
      <c r="K89">
        <v>0.47</v>
      </c>
      <c r="L89">
        <v>2.7</v>
      </c>
      <c r="M89">
        <v>5</v>
      </c>
      <c r="N89">
        <v>25.72</v>
      </c>
      <c r="P89">
        <v>25.4</v>
      </c>
      <c r="R89">
        <v>10.3</v>
      </c>
      <c r="S89">
        <v>25.55</v>
      </c>
      <c r="U89">
        <v>10.4</v>
      </c>
      <c r="V89">
        <v>2.85</v>
      </c>
      <c r="W89">
        <v>1.32</v>
      </c>
      <c r="X89">
        <v>25.54</v>
      </c>
      <c r="Y89">
        <v>1.22</v>
      </c>
      <c r="Z89">
        <v>25.6</v>
      </c>
      <c r="AB89">
        <v>0.26113199999999998</v>
      </c>
      <c r="AC89">
        <v>8</v>
      </c>
      <c r="AD89">
        <v>31</v>
      </c>
      <c r="AE89" t="s">
        <v>105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3.8294808755725098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30.6358470045801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34.4653278801526</v>
      </c>
      <c r="DA89" s="2">
        <f t="shared" si="7"/>
        <v>0</v>
      </c>
      <c r="DB89" s="2">
        <f t="shared" si="8"/>
        <v>0</v>
      </c>
      <c r="DC89" s="2">
        <f t="shared" si="9"/>
        <v>0</v>
      </c>
      <c r="DD89" s="2">
        <f t="shared" si="10"/>
        <v>0</v>
      </c>
      <c r="DE89" s="2">
        <f t="shared" si="11"/>
        <v>3.8294808755725098</v>
      </c>
      <c r="DF89" s="2">
        <f t="shared" si="12"/>
        <v>0</v>
      </c>
      <c r="DG89" s="2">
        <f t="shared" si="13"/>
        <v>3.8294808755725098</v>
      </c>
    </row>
    <row r="90" spans="1:111" x14ac:dyDescent="0.35">
      <c r="A90">
        <v>2016</v>
      </c>
      <c r="B90">
        <v>8</v>
      </c>
      <c r="C90">
        <v>113</v>
      </c>
      <c r="D90" s="1">
        <v>42613</v>
      </c>
      <c r="E90">
        <v>41.817999999999998</v>
      </c>
      <c r="F90">
        <v>-82.883166666666696</v>
      </c>
      <c r="G90">
        <v>41.821669999999997</v>
      </c>
      <c r="H90">
        <v>-82.892669999999995</v>
      </c>
      <c r="I90">
        <v>2.2000000000000002</v>
      </c>
      <c r="J90">
        <v>1.9</v>
      </c>
      <c r="K90">
        <v>0.48</v>
      </c>
      <c r="L90">
        <v>2.7</v>
      </c>
      <c r="M90">
        <v>8</v>
      </c>
      <c r="N90">
        <v>25.96</v>
      </c>
      <c r="P90">
        <v>25.57</v>
      </c>
      <c r="R90">
        <v>10.3</v>
      </c>
      <c r="S90">
        <v>25.63</v>
      </c>
      <c r="U90">
        <v>10.4</v>
      </c>
      <c r="V90">
        <v>25.87</v>
      </c>
      <c r="X90">
        <v>25.45</v>
      </c>
      <c r="Z90">
        <v>25.5</v>
      </c>
      <c r="AB90">
        <v>0.26668799999999998</v>
      </c>
      <c r="AC90">
        <v>8</v>
      </c>
      <c r="AD90">
        <v>31</v>
      </c>
      <c r="AE90" t="s">
        <v>106</v>
      </c>
      <c r="AF90" s="2">
        <v>0</v>
      </c>
      <c r="AG90" s="2">
        <v>0</v>
      </c>
      <c r="AH90" s="2">
        <v>0</v>
      </c>
      <c r="AI90" s="2">
        <v>277.47780177585798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7.4994000479961596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22.498200143988502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3.7497000239980798</v>
      </c>
      <c r="CQ90" s="2">
        <v>0</v>
      </c>
      <c r="CR90" s="2">
        <v>0</v>
      </c>
      <c r="CS90" s="2">
        <v>0</v>
      </c>
      <c r="CT90" s="2">
        <v>11.249100071994199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322.47420206383498</v>
      </c>
      <c r="DA90" s="2">
        <f t="shared" si="7"/>
        <v>0</v>
      </c>
      <c r="DB90" s="2">
        <f t="shared" si="8"/>
        <v>277.47780177585798</v>
      </c>
      <c r="DC90" s="2">
        <f t="shared" si="9"/>
        <v>7.4994000479961596</v>
      </c>
      <c r="DD90" s="2">
        <f t="shared" si="10"/>
        <v>0</v>
      </c>
      <c r="DE90" s="2">
        <f t="shared" si="11"/>
        <v>0</v>
      </c>
      <c r="DF90" s="2">
        <f t="shared" si="12"/>
        <v>22.498200143988502</v>
      </c>
      <c r="DG90" s="2">
        <f t="shared" si="13"/>
        <v>307.47540196784269</v>
      </c>
    </row>
    <row r="91" spans="1:111" x14ac:dyDescent="0.35">
      <c r="A91">
        <v>2016</v>
      </c>
      <c r="B91">
        <v>8</v>
      </c>
      <c r="C91">
        <v>114</v>
      </c>
      <c r="D91" s="1">
        <v>42613</v>
      </c>
      <c r="E91">
        <v>41.825499999999998</v>
      </c>
      <c r="F91">
        <v>-82.895499999999998</v>
      </c>
      <c r="G91">
        <v>41.832999999999998</v>
      </c>
      <c r="H91">
        <v>-82.892830000000004</v>
      </c>
      <c r="I91">
        <v>1.2</v>
      </c>
      <c r="J91">
        <v>1.9</v>
      </c>
      <c r="K91">
        <v>0.47</v>
      </c>
      <c r="L91">
        <v>2.7</v>
      </c>
      <c r="M91">
        <v>10.3</v>
      </c>
      <c r="N91">
        <v>25.97</v>
      </c>
      <c r="P91">
        <v>25.32</v>
      </c>
      <c r="R91">
        <v>10.3</v>
      </c>
      <c r="S91">
        <v>25.32</v>
      </c>
      <c r="U91">
        <v>10.4</v>
      </c>
      <c r="V91">
        <v>26.11</v>
      </c>
      <c r="X91">
        <v>25.42</v>
      </c>
      <c r="Z91">
        <v>25.4</v>
      </c>
      <c r="AB91">
        <v>0.26113199999999998</v>
      </c>
      <c r="AC91">
        <v>8</v>
      </c>
      <c r="AD91">
        <v>31</v>
      </c>
      <c r="AE91" t="s">
        <v>104</v>
      </c>
      <c r="AF91" s="2">
        <v>0</v>
      </c>
      <c r="AG91" s="2">
        <v>0</v>
      </c>
      <c r="AH91" s="2">
        <v>0</v>
      </c>
      <c r="AI91" s="2">
        <v>1179.4801096763299</v>
      </c>
      <c r="AJ91" s="2">
        <v>3.8294808755725098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7.6589617511450196</v>
      </c>
      <c r="BC91" s="2">
        <v>0</v>
      </c>
      <c r="BD91" s="2">
        <v>0</v>
      </c>
      <c r="BE91" s="2">
        <v>11.4884426267175</v>
      </c>
      <c r="BF91" s="2">
        <v>0</v>
      </c>
      <c r="BG91" s="2">
        <v>547.61576520686901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38.2948087557251</v>
      </c>
      <c r="BS91" s="2">
        <v>179.98560115190801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122.54338801832</v>
      </c>
      <c r="CN91" s="2">
        <v>42.1242896312976</v>
      </c>
      <c r="CO91" s="2">
        <v>11.4884426267175</v>
      </c>
      <c r="CP91" s="2">
        <v>65.1011748847326</v>
      </c>
      <c r="CQ91" s="2">
        <v>3.8294808755725098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11.4884426267175</v>
      </c>
      <c r="CY91" s="2">
        <v>0</v>
      </c>
      <c r="CZ91" s="2">
        <v>2224.9283887076299</v>
      </c>
      <c r="DA91" s="2">
        <f t="shared" si="7"/>
        <v>0</v>
      </c>
      <c r="DB91" s="2">
        <f t="shared" si="8"/>
        <v>1183.3095905519024</v>
      </c>
      <c r="DC91" s="2">
        <f t="shared" si="9"/>
        <v>0</v>
      </c>
      <c r="DD91" s="2">
        <f t="shared" si="10"/>
        <v>559.10420783358654</v>
      </c>
      <c r="DE91" s="2">
        <f t="shared" si="11"/>
        <v>45.953770506870121</v>
      </c>
      <c r="DF91" s="2">
        <f t="shared" si="12"/>
        <v>314.01743179694552</v>
      </c>
      <c r="DG91" s="2">
        <f t="shared" si="13"/>
        <v>2102.3850006893044</v>
      </c>
    </row>
    <row r="92" spans="1:111" x14ac:dyDescent="0.35">
      <c r="A92">
        <v>2016</v>
      </c>
      <c r="B92">
        <v>1</v>
      </c>
      <c r="C92">
        <v>115</v>
      </c>
      <c r="D92" s="1">
        <v>42614</v>
      </c>
      <c r="E92">
        <v>41.996499999999997</v>
      </c>
      <c r="F92">
        <v>-83.056833333333302</v>
      </c>
      <c r="G92">
        <v>41.988999999999997</v>
      </c>
      <c r="H92">
        <v>-83.055000000000007</v>
      </c>
      <c r="I92">
        <v>1.7</v>
      </c>
      <c r="J92">
        <v>1.6</v>
      </c>
      <c r="K92">
        <v>0.46</v>
      </c>
      <c r="L92">
        <v>2.7</v>
      </c>
      <c r="M92">
        <v>3</v>
      </c>
      <c r="N92">
        <v>24.19</v>
      </c>
      <c r="O92">
        <v>8.89</v>
      </c>
      <c r="P92">
        <v>24.42</v>
      </c>
      <c r="Q92">
        <v>8.84</v>
      </c>
      <c r="R92">
        <v>6.4</v>
      </c>
      <c r="S92">
        <v>24.4</v>
      </c>
      <c r="T92">
        <v>8.91</v>
      </c>
      <c r="U92">
        <v>6.4</v>
      </c>
      <c r="V92">
        <v>24.17</v>
      </c>
      <c r="W92">
        <v>8.6999999999999993</v>
      </c>
      <c r="X92">
        <v>24.35</v>
      </c>
      <c r="Y92">
        <v>8.52</v>
      </c>
      <c r="Z92">
        <v>24.2</v>
      </c>
      <c r="AA92">
        <v>8.69</v>
      </c>
      <c r="AB92">
        <v>0.25557600000000003</v>
      </c>
      <c r="AC92">
        <v>9</v>
      </c>
      <c r="AD92">
        <v>1</v>
      </c>
      <c r="AE92" t="s">
        <v>105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93.905531035777997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31.3018436785927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125.207374714371</v>
      </c>
      <c r="DA92" s="2">
        <f t="shared" si="7"/>
        <v>0</v>
      </c>
      <c r="DB92" s="2">
        <f t="shared" si="8"/>
        <v>0</v>
      </c>
      <c r="DC92" s="2">
        <f t="shared" si="9"/>
        <v>93.905531035777997</v>
      </c>
      <c r="DD92" s="2">
        <f t="shared" si="10"/>
        <v>0</v>
      </c>
      <c r="DE92" s="2">
        <f t="shared" si="11"/>
        <v>0</v>
      </c>
      <c r="DF92" s="2">
        <f t="shared" si="12"/>
        <v>0</v>
      </c>
      <c r="DG92" s="2">
        <f t="shared" si="13"/>
        <v>93.905531035777997</v>
      </c>
    </row>
    <row r="93" spans="1:111" x14ac:dyDescent="0.35">
      <c r="A93">
        <v>2016</v>
      </c>
      <c r="B93">
        <v>1</v>
      </c>
      <c r="C93">
        <v>116</v>
      </c>
      <c r="D93" s="1">
        <v>42614</v>
      </c>
      <c r="E93">
        <v>41.988333333333301</v>
      </c>
      <c r="F93">
        <v>-83.055000000000007</v>
      </c>
      <c r="G93">
        <v>41.995170000000002</v>
      </c>
      <c r="H93">
        <v>-83.110330000000005</v>
      </c>
      <c r="I93">
        <v>1.6</v>
      </c>
      <c r="J93">
        <v>1.5</v>
      </c>
      <c r="K93">
        <v>0.48</v>
      </c>
      <c r="L93">
        <v>2.7</v>
      </c>
      <c r="M93">
        <v>8</v>
      </c>
      <c r="N93">
        <v>24.17</v>
      </c>
      <c r="O93">
        <v>8.6999999999999993</v>
      </c>
      <c r="P93">
        <v>24.35</v>
      </c>
      <c r="Q93">
        <v>8.52</v>
      </c>
      <c r="R93">
        <v>7.4</v>
      </c>
      <c r="S93">
        <v>24.35</v>
      </c>
      <c r="T93">
        <v>8.52</v>
      </c>
      <c r="U93">
        <v>6.5</v>
      </c>
      <c r="V93">
        <v>24.11</v>
      </c>
      <c r="W93">
        <v>8.39</v>
      </c>
      <c r="X93">
        <v>24.3</v>
      </c>
      <c r="Y93">
        <v>8.2100000000000009</v>
      </c>
      <c r="Z93">
        <v>24.3</v>
      </c>
      <c r="AA93">
        <v>8.2100000000000009</v>
      </c>
      <c r="AB93">
        <v>0.26668799999999998</v>
      </c>
      <c r="AC93">
        <v>9</v>
      </c>
      <c r="AD93">
        <v>1</v>
      </c>
      <c r="AE93" t="s">
        <v>104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3.7497000239980798</v>
      </c>
      <c r="BC93" s="2">
        <v>14.9988000959923</v>
      </c>
      <c r="BD93" s="2">
        <v>0</v>
      </c>
      <c r="BE93" s="2">
        <v>3.7497000239980798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3.7497000239980798</v>
      </c>
      <c r="BT93" s="2">
        <v>982.42140628749701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7.4994000479961596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149.988000959923</v>
      </c>
      <c r="CO93" s="2">
        <v>3.7497000239980798</v>
      </c>
      <c r="CP93" s="2">
        <v>101.241900647948</v>
      </c>
      <c r="CQ93" s="2">
        <v>0</v>
      </c>
      <c r="CR93" s="2">
        <v>0</v>
      </c>
      <c r="CS93" s="2">
        <v>0</v>
      </c>
      <c r="CT93" s="2">
        <v>44.996400287977004</v>
      </c>
      <c r="CU93" s="2">
        <v>0</v>
      </c>
      <c r="CV93" s="2">
        <v>0</v>
      </c>
      <c r="CW93" s="2">
        <v>0</v>
      </c>
      <c r="CX93" s="2">
        <v>37.4970002399808</v>
      </c>
      <c r="CY93" s="2">
        <v>0</v>
      </c>
      <c r="CZ93" s="2">
        <v>1353.6417086633101</v>
      </c>
      <c r="DA93" s="2">
        <f t="shared" si="7"/>
        <v>0</v>
      </c>
      <c r="DB93" s="2">
        <f t="shared" si="8"/>
        <v>0</v>
      </c>
      <c r="DC93" s="2">
        <f t="shared" si="9"/>
        <v>14.9988000959923</v>
      </c>
      <c r="DD93" s="2">
        <f t="shared" si="10"/>
        <v>3.7497000239980798</v>
      </c>
      <c r="DE93" s="2">
        <f t="shared" si="11"/>
        <v>3.7497000239980798</v>
      </c>
      <c r="DF93" s="2">
        <f t="shared" si="12"/>
        <v>7.4994000479961596</v>
      </c>
      <c r="DG93" s="2">
        <f t="shared" si="13"/>
        <v>29.997600191984617</v>
      </c>
    </row>
    <row r="94" spans="1:111" x14ac:dyDescent="0.35">
      <c r="A94">
        <v>2016</v>
      </c>
      <c r="B94">
        <v>24</v>
      </c>
      <c r="C94">
        <v>117</v>
      </c>
      <c r="D94" s="1">
        <v>42614</v>
      </c>
      <c r="E94">
        <v>41.946166666666699</v>
      </c>
      <c r="F94">
        <v>-82.983666666666693</v>
      </c>
      <c r="G94">
        <v>41.938499999999998</v>
      </c>
      <c r="H94">
        <v>-82.985169999999997</v>
      </c>
      <c r="I94">
        <v>1.5</v>
      </c>
      <c r="J94">
        <v>1.6</v>
      </c>
      <c r="K94">
        <v>0.47</v>
      </c>
      <c r="L94">
        <v>2.9</v>
      </c>
      <c r="M94">
        <v>3</v>
      </c>
      <c r="N94">
        <v>23.8</v>
      </c>
      <c r="O94">
        <v>7.97</v>
      </c>
      <c r="P94">
        <v>24.29</v>
      </c>
      <c r="Q94">
        <v>7.44</v>
      </c>
      <c r="R94">
        <v>9</v>
      </c>
      <c r="S94">
        <v>24.2</v>
      </c>
      <c r="T94">
        <v>7.73</v>
      </c>
      <c r="U94">
        <v>9.1</v>
      </c>
      <c r="V94">
        <v>24.14</v>
      </c>
      <c r="W94">
        <v>7.14</v>
      </c>
      <c r="X94">
        <v>24.38</v>
      </c>
      <c r="Y94">
        <v>6.72</v>
      </c>
      <c r="Z94">
        <v>24.2</v>
      </c>
      <c r="AA94">
        <v>7.03</v>
      </c>
      <c r="AB94">
        <v>0.26113199999999998</v>
      </c>
      <c r="AC94">
        <v>9</v>
      </c>
      <c r="AD94">
        <v>1</v>
      </c>
      <c r="AE94" t="s">
        <v>105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42.1242896312976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42.1242896312976</v>
      </c>
      <c r="DA94" s="2">
        <f t="shared" si="7"/>
        <v>0</v>
      </c>
      <c r="DB94" s="2">
        <f t="shared" si="8"/>
        <v>0</v>
      </c>
      <c r="DC94" s="2">
        <f t="shared" si="9"/>
        <v>0</v>
      </c>
      <c r="DD94" s="2">
        <f t="shared" si="10"/>
        <v>0</v>
      </c>
      <c r="DE94" s="2">
        <f t="shared" si="11"/>
        <v>0</v>
      </c>
      <c r="DF94" s="2">
        <f t="shared" si="12"/>
        <v>0</v>
      </c>
      <c r="DG94" s="2">
        <f t="shared" si="13"/>
        <v>0</v>
      </c>
    </row>
    <row r="95" spans="1:111" x14ac:dyDescent="0.35">
      <c r="A95">
        <v>2016</v>
      </c>
      <c r="B95">
        <v>24</v>
      </c>
      <c r="C95">
        <v>118</v>
      </c>
      <c r="D95" s="1">
        <v>42614</v>
      </c>
      <c r="E95">
        <v>41.938000000000002</v>
      </c>
      <c r="F95">
        <v>-82.9851666666667</v>
      </c>
      <c r="G95">
        <v>41.945830000000001</v>
      </c>
      <c r="H95">
        <v>-82.985330000000005</v>
      </c>
      <c r="I95">
        <v>1.6</v>
      </c>
      <c r="K95">
        <v>0.47</v>
      </c>
      <c r="L95">
        <v>2.9</v>
      </c>
      <c r="M95">
        <v>6</v>
      </c>
      <c r="N95">
        <v>24.14</v>
      </c>
      <c r="O95">
        <v>7.14</v>
      </c>
      <c r="P95">
        <v>24.38</v>
      </c>
      <c r="Q95">
        <v>6.72</v>
      </c>
      <c r="R95">
        <v>9.1</v>
      </c>
      <c r="S95">
        <v>24.3</v>
      </c>
      <c r="T95">
        <v>6.95</v>
      </c>
      <c r="V95">
        <v>24.04</v>
      </c>
      <c r="W95">
        <v>6.98</v>
      </c>
      <c r="X95">
        <v>24.25</v>
      </c>
      <c r="Y95">
        <v>6.65</v>
      </c>
      <c r="Z95">
        <v>24.2</v>
      </c>
      <c r="AA95">
        <v>6.77</v>
      </c>
      <c r="AB95">
        <v>0.26113199999999998</v>
      </c>
      <c r="AC95">
        <v>9</v>
      </c>
      <c r="AD95">
        <v>1</v>
      </c>
      <c r="AE95" t="s">
        <v>106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7.6589617511450196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7.6589617511450196</v>
      </c>
      <c r="DA95" s="2">
        <f t="shared" si="7"/>
        <v>0</v>
      </c>
      <c r="DB95" s="2">
        <f t="shared" si="8"/>
        <v>0</v>
      </c>
      <c r="DC95" s="2">
        <f t="shared" si="9"/>
        <v>0</v>
      </c>
      <c r="DD95" s="2">
        <f t="shared" si="10"/>
        <v>0</v>
      </c>
      <c r="DE95" s="2">
        <f t="shared" si="11"/>
        <v>0</v>
      </c>
      <c r="DF95" s="2">
        <f t="shared" si="12"/>
        <v>0</v>
      </c>
      <c r="DG95" s="2">
        <f t="shared" si="13"/>
        <v>0</v>
      </c>
    </row>
    <row r="96" spans="1:111" x14ac:dyDescent="0.35">
      <c r="A96">
        <v>2016</v>
      </c>
      <c r="B96">
        <v>24</v>
      </c>
      <c r="C96">
        <v>119</v>
      </c>
      <c r="D96" s="1">
        <v>42614</v>
      </c>
      <c r="E96">
        <v>41.944000000000003</v>
      </c>
      <c r="F96">
        <v>-82.988333333333301</v>
      </c>
      <c r="G96">
        <v>41.935169999999999</v>
      </c>
      <c r="H96">
        <v>-82.993499999999997</v>
      </c>
      <c r="I96">
        <v>2.4</v>
      </c>
      <c r="J96">
        <v>2.5</v>
      </c>
      <c r="K96">
        <v>0.44</v>
      </c>
      <c r="L96">
        <v>2.7</v>
      </c>
      <c r="M96">
        <v>9</v>
      </c>
      <c r="N96">
        <v>24.04</v>
      </c>
      <c r="O96">
        <v>6.98</v>
      </c>
      <c r="P96">
        <v>24.25</v>
      </c>
      <c r="Q96">
        <v>6.65</v>
      </c>
      <c r="R96">
        <v>8.9</v>
      </c>
      <c r="S96">
        <v>24.25</v>
      </c>
      <c r="T96">
        <v>6.65</v>
      </c>
      <c r="U96">
        <v>9.1</v>
      </c>
      <c r="V96">
        <v>24.05</v>
      </c>
      <c r="W96">
        <v>6.68</v>
      </c>
      <c r="X96">
        <v>24.27</v>
      </c>
      <c r="Y96">
        <v>6.38</v>
      </c>
      <c r="Z96">
        <v>24.2</v>
      </c>
      <c r="AA96">
        <v>6.38</v>
      </c>
      <c r="AB96">
        <v>0.24446399999999999</v>
      </c>
      <c r="AC96">
        <v>9</v>
      </c>
      <c r="AD96">
        <v>1</v>
      </c>
      <c r="AE96" t="s">
        <v>104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4.09058184436154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4.09058184436154</v>
      </c>
      <c r="BC96" s="2">
        <v>0</v>
      </c>
      <c r="BD96" s="2">
        <v>0</v>
      </c>
      <c r="BE96" s="2">
        <v>0</v>
      </c>
      <c r="BF96" s="2">
        <v>0</v>
      </c>
      <c r="BG96" s="2">
        <v>4.09058184436154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85.902218731592399</v>
      </c>
      <c r="BS96" s="2">
        <v>1108.54767982198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1648.5044832777</v>
      </c>
      <c r="CN96" s="2">
        <v>544.04738530008501</v>
      </c>
      <c r="CO96" s="2">
        <v>4.09058184436154</v>
      </c>
      <c r="CP96" s="2">
        <v>36.8152365992539</v>
      </c>
      <c r="CQ96" s="2">
        <v>8.1811636887230801</v>
      </c>
      <c r="CR96" s="2">
        <v>0</v>
      </c>
      <c r="CS96" s="2">
        <v>8.1811636887230801</v>
      </c>
      <c r="CT96" s="2">
        <v>4.09058184436154</v>
      </c>
      <c r="CU96" s="2">
        <v>65.449309509784698</v>
      </c>
      <c r="CV96" s="2">
        <v>0</v>
      </c>
      <c r="CW96" s="2">
        <v>0</v>
      </c>
      <c r="CX96" s="2">
        <v>12.2717455330846</v>
      </c>
      <c r="CY96" s="2">
        <v>0</v>
      </c>
      <c r="CZ96" s="2">
        <v>3538.3532953727299</v>
      </c>
      <c r="DA96" s="2">
        <f t="shared" si="7"/>
        <v>0</v>
      </c>
      <c r="DB96" s="2">
        <f t="shared" si="8"/>
        <v>0</v>
      </c>
      <c r="DC96" s="2">
        <f t="shared" si="9"/>
        <v>0</v>
      </c>
      <c r="DD96" s="2">
        <f t="shared" si="10"/>
        <v>4.09058184436154</v>
      </c>
      <c r="DE96" s="2">
        <f t="shared" si="11"/>
        <v>155.44211008573865</v>
      </c>
      <c r="DF96" s="2">
        <f t="shared" si="12"/>
        <v>2761.1427449440416</v>
      </c>
      <c r="DG96" s="2">
        <f t="shared" si="13"/>
        <v>2920.6754368741417</v>
      </c>
    </row>
    <row r="97" spans="1:111" x14ac:dyDescent="0.35">
      <c r="A97">
        <v>2017</v>
      </c>
      <c r="B97">
        <v>18</v>
      </c>
      <c r="C97">
        <v>101</v>
      </c>
      <c r="D97" s="1">
        <v>42976</v>
      </c>
      <c r="E97">
        <v>41.705500000000001</v>
      </c>
      <c r="F97">
        <v>-82.554166666666703</v>
      </c>
      <c r="G97">
        <v>41.711669999999998</v>
      </c>
      <c r="H97">
        <v>-82.560829999999996</v>
      </c>
      <c r="I97">
        <v>2</v>
      </c>
      <c r="J97">
        <v>1.5</v>
      </c>
      <c r="K97">
        <v>0.47</v>
      </c>
      <c r="L97">
        <v>2.9</v>
      </c>
      <c r="M97">
        <v>12.4</v>
      </c>
      <c r="N97">
        <v>22.27</v>
      </c>
      <c r="O97">
        <v>9.08</v>
      </c>
      <c r="P97">
        <v>21.69</v>
      </c>
      <c r="Q97">
        <v>6.59</v>
      </c>
      <c r="R97">
        <v>12.4</v>
      </c>
      <c r="S97">
        <v>21.69</v>
      </c>
      <c r="T97">
        <v>6.59</v>
      </c>
      <c r="U97">
        <v>1.2</v>
      </c>
      <c r="V97">
        <v>22.07</v>
      </c>
      <c r="W97">
        <v>9.19</v>
      </c>
      <c r="X97">
        <v>22.03</v>
      </c>
      <c r="Y97">
        <v>8.9700000000000006</v>
      </c>
      <c r="Z97">
        <v>22</v>
      </c>
      <c r="AA97">
        <v>8.9700000000000006</v>
      </c>
      <c r="AB97">
        <v>0.26113199999999998</v>
      </c>
      <c r="AC97">
        <v>8</v>
      </c>
      <c r="AD97">
        <v>29</v>
      </c>
      <c r="AE97" t="s">
        <v>104</v>
      </c>
      <c r="AF97" s="2">
        <v>0</v>
      </c>
      <c r="AG97" s="2">
        <v>0</v>
      </c>
      <c r="AH97" s="2">
        <v>3.8294808755725098</v>
      </c>
      <c r="AI97" s="2">
        <v>555.27472695801396</v>
      </c>
      <c r="AJ97" s="2">
        <v>3.8294808755725098</v>
      </c>
      <c r="AK97" s="2">
        <v>0</v>
      </c>
      <c r="AL97" s="2">
        <v>0</v>
      </c>
      <c r="AM97" s="2">
        <v>8547.4013142778404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417.41341543740299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639.52330622060902</v>
      </c>
      <c r="BT97" s="2">
        <v>45.9537705068701</v>
      </c>
      <c r="BU97" s="2">
        <v>0</v>
      </c>
      <c r="BV97" s="2">
        <v>7.6589617511450196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30.6358470045801</v>
      </c>
      <c r="CN97" s="2">
        <v>22.976885253435</v>
      </c>
      <c r="CO97" s="2">
        <v>0</v>
      </c>
      <c r="CP97" s="2">
        <v>0</v>
      </c>
      <c r="CQ97" s="2">
        <v>22.976885253435</v>
      </c>
      <c r="CR97" s="2">
        <v>0</v>
      </c>
      <c r="CS97" s="2">
        <v>0</v>
      </c>
      <c r="CT97" s="2">
        <v>0</v>
      </c>
      <c r="CU97" s="2">
        <v>3.8294808755725098</v>
      </c>
      <c r="CV97" s="2">
        <v>0</v>
      </c>
      <c r="CW97" s="2">
        <v>0</v>
      </c>
      <c r="CX97" s="2">
        <v>3.8294808755725098</v>
      </c>
      <c r="CY97" s="2">
        <v>0</v>
      </c>
      <c r="CZ97" s="2">
        <v>10305.1330361656</v>
      </c>
      <c r="DA97" s="2">
        <f t="shared" si="7"/>
        <v>3.8294808755725098</v>
      </c>
      <c r="DB97" s="2">
        <f t="shared" si="8"/>
        <v>559.10420783358643</v>
      </c>
      <c r="DC97" s="2">
        <f t="shared" si="9"/>
        <v>0</v>
      </c>
      <c r="DD97" s="2">
        <f t="shared" si="10"/>
        <v>417.41341543740299</v>
      </c>
      <c r="DE97" s="2">
        <f t="shared" si="11"/>
        <v>8551.2307951534131</v>
      </c>
      <c r="DF97" s="2">
        <f t="shared" si="12"/>
        <v>670.15915322518913</v>
      </c>
      <c r="DG97" s="2">
        <f t="shared" si="13"/>
        <v>10201.737052525164</v>
      </c>
    </row>
    <row r="98" spans="1:111" x14ac:dyDescent="0.35">
      <c r="A98">
        <v>2017</v>
      </c>
      <c r="B98">
        <v>18</v>
      </c>
      <c r="C98">
        <v>102</v>
      </c>
      <c r="D98" s="1">
        <v>42976</v>
      </c>
      <c r="E98">
        <v>41.716999999999999</v>
      </c>
      <c r="F98">
        <v>-82.566833333333307</v>
      </c>
      <c r="G98">
        <v>41.724330000000002</v>
      </c>
      <c r="H98">
        <v>-82.5715</v>
      </c>
      <c r="I98">
        <v>2.1</v>
      </c>
      <c r="J98">
        <v>1.8</v>
      </c>
      <c r="K98">
        <v>0.48</v>
      </c>
      <c r="L98">
        <v>3</v>
      </c>
      <c r="M98">
        <v>8</v>
      </c>
      <c r="N98">
        <v>22.04</v>
      </c>
      <c r="O98">
        <v>9.4</v>
      </c>
      <c r="P98">
        <v>22.04</v>
      </c>
      <c r="Q98">
        <v>9.0299999999999994</v>
      </c>
      <c r="R98">
        <v>11.9</v>
      </c>
      <c r="S98">
        <v>22.06</v>
      </c>
      <c r="T98">
        <v>9.1</v>
      </c>
      <c r="U98">
        <v>11.7</v>
      </c>
      <c r="V98">
        <v>22.13</v>
      </c>
      <c r="W98">
        <v>9.7899999999999991</v>
      </c>
      <c r="X98">
        <v>22.07</v>
      </c>
      <c r="Y98">
        <v>8.86</v>
      </c>
      <c r="Z98">
        <v>22.1</v>
      </c>
      <c r="AA98">
        <v>9.01</v>
      </c>
      <c r="AB98">
        <v>0.26668799999999998</v>
      </c>
      <c r="AC98">
        <v>8</v>
      </c>
      <c r="AD98">
        <v>29</v>
      </c>
      <c r="AE98" t="s">
        <v>106</v>
      </c>
      <c r="AF98" s="2">
        <v>0</v>
      </c>
      <c r="AG98" s="2">
        <v>0</v>
      </c>
      <c r="AH98" s="2">
        <v>18.7485001199904</v>
      </c>
      <c r="AI98" s="2">
        <v>29.997600191984599</v>
      </c>
      <c r="AJ98" s="2">
        <v>0</v>
      </c>
      <c r="AK98" s="2">
        <v>0</v>
      </c>
      <c r="AL98" s="2">
        <v>0</v>
      </c>
      <c r="AM98" s="2">
        <v>4409.6472282217401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3.7497000239980798</v>
      </c>
      <c r="AZ98" s="2">
        <v>0</v>
      </c>
      <c r="BA98" s="2">
        <v>0</v>
      </c>
      <c r="BB98" s="2">
        <v>0</v>
      </c>
      <c r="BC98" s="2">
        <v>2688.5349172066199</v>
      </c>
      <c r="BD98" s="2">
        <v>0</v>
      </c>
      <c r="BE98" s="2">
        <v>0</v>
      </c>
      <c r="BF98" s="2">
        <v>0</v>
      </c>
      <c r="BG98" s="2">
        <v>14.9988000959923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14.9988000959923</v>
      </c>
      <c r="BT98" s="2">
        <v>0</v>
      </c>
      <c r="BU98" s="2">
        <v>3.7497000239980798</v>
      </c>
      <c r="BV98" s="2">
        <v>3.7497000239980798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7.4994000479961596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7203.1737461003104</v>
      </c>
      <c r="DA98" s="2">
        <f t="shared" si="7"/>
        <v>18.7485001199904</v>
      </c>
      <c r="DB98" s="2">
        <f t="shared" si="8"/>
        <v>29.997600191984599</v>
      </c>
      <c r="DC98" s="2">
        <f t="shared" si="9"/>
        <v>2688.5349172066199</v>
      </c>
      <c r="DD98" s="2">
        <f t="shared" si="10"/>
        <v>14.9988000959923</v>
      </c>
      <c r="DE98" s="2">
        <f t="shared" si="11"/>
        <v>4409.6472282217401</v>
      </c>
      <c r="DF98" s="2">
        <f t="shared" si="12"/>
        <v>26.247900167986536</v>
      </c>
      <c r="DG98" s="2">
        <f t="shared" si="13"/>
        <v>7188.1749460043147</v>
      </c>
    </row>
    <row r="99" spans="1:111" x14ac:dyDescent="0.35">
      <c r="A99">
        <v>2017</v>
      </c>
      <c r="B99">
        <v>18</v>
      </c>
      <c r="C99">
        <v>103</v>
      </c>
      <c r="D99" s="1">
        <v>42976</v>
      </c>
      <c r="E99">
        <v>41.720333333333301</v>
      </c>
      <c r="F99">
        <v>-82.572999999999993</v>
      </c>
      <c r="G99">
        <v>41.726999999999997</v>
      </c>
      <c r="H99">
        <v>-82.579170000000005</v>
      </c>
      <c r="I99">
        <v>2</v>
      </c>
      <c r="J99">
        <v>1.8</v>
      </c>
      <c r="K99">
        <v>0.49</v>
      </c>
      <c r="L99">
        <v>2.9</v>
      </c>
      <c r="M99">
        <v>4</v>
      </c>
      <c r="N99">
        <v>22.04</v>
      </c>
      <c r="O99">
        <v>9.18</v>
      </c>
      <c r="P99">
        <v>21.99</v>
      </c>
      <c r="Q99">
        <v>8.8699999999999992</v>
      </c>
      <c r="R99">
        <v>11.6</v>
      </c>
      <c r="S99">
        <v>22.01</v>
      </c>
      <c r="T99">
        <v>9.09</v>
      </c>
      <c r="U99">
        <v>11.5</v>
      </c>
      <c r="V99">
        <v>22.3</v>
      </c>
      <c r="W99">
        <v>9.57</v>
      </c>
      <c r="X99">
        <v>21.99</v>
      </c>
      <c r="Y99">
        <v>8.76</v>
      </c>
      <c r="Z99">
        <v>22.2</v>
      </c>
      <c r="AA99">
        <v>9.2799999999999994</v>
      </c>
      <c r="AB99">
        <v>0.27224399999999999</v>
      </c>
      <c r="AC99">
        <v>8</v>
      </c>
      <c r="AD99">
        <v>29</v>
      </c>
      <c r="AE99" t="s">
        <v>105</v>
      </c>
      <c r="AF99" s="2">
        <v>0</v>
      </c>
      <c r="AG99" s="2">
        <v>0</v>
      </c>
      <c r="AH99" s="2">
        <v>11.0195266011372</v>
      </c>
      <c r="AI99" s="2">
        <v>205.69782988789501</v>
      </c>
      <c r="AJ99" s="2">
        <v>0</v>
      </c>
      <c r="AK99" s="2">
        <v>0</v>
      </c>
      <c r="AL99" s="2">
        <v>0</v>
      </c>
      <c r="AM99" s="2">
        <v>1439.88480921526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113.86844154508501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3.6731755337124099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1785.1633093842299</v>
      </c>
      <c r="DA99" s="2">
        <f t="shared" si="7"/>
        <v>11.0195266011372</v>
      </c>
      <c r="DB99" s="2">
        <f t="shared" si="8"/>
        <v>205.69782988789501</v>
      </c>
      <c r="DC99" s="2">
        <f t="shared" si="9"/>
        <v>113.86844154508501</v>
      </c>
      <c r="DD99" s="2">
        <f t="shared" si="10"/>
        <v>0</v>
      </c>
      <c r="DE99" s="2">
        <f t="shared" si="11"/>
        <v>1439.88480921526</v>
      </c>
      <c r="DF99" s="2">
        <f t="shared" si="12"/>
        <v>3.6731755337124099</v>
      </c>
      <c r="DG99" s="2">
        <f t="shared" si="13"/>
        <v>1774.1437827830896</v>
      </c>
    </row>
    <row r="100" spans="1:111" x14ac:dyDescent="0.35">
      <c r="A100">
        <v>2017</v>
      </c>
      <c r="B100">
        <v>19</v>
      </c>
      <c r="C100">
        <v>104</v>
      </c>
      <c r="D100" s="1">
        <v>42976</v>
      </c>
      <c r="E100">
        <v>42.008499999999998</v>
      </c>
      <c r="F100">
        <v>-82.588499999999996</v>
      </c>
      <c r="I100">
        <v>1.8</v>
      </c>
      <c r="J100">
        <v>1.8</v>
      </c>
      <c r="K100">
        <v>0.49</v>
      </c>
      <c r="L100">
        <v>2.9</v>
      </c>
      <c r="M100">
        <v>8.6</v>
      </c>
      <c r="N100">
        <v>22.66</v>
      </c>
      <c r="O100">
        <v>9.6300000000000008</v>
      </c>
      <c r="P100">
        <v>22.07</v>
      </c>
      <c r="Q100">
        <v>9.3699999999999992</v>
      </c>
      <c r="R100">
        <v>8.6</v>
      </c>
      <c r="U100">
        <v>8.1</v>
      </c>
      <c r="V100">
        <v>22.67</v>
      </c>
      <c r="W100">
        <v>9.64</v>
      </c>
      <c r="X100">
        <v>22.27</v>
      </c>
      <c r="Y100">
        <v>9.24</v>
      </c>
      <c r="AB100">
        <v>0.27224399999999999</v>
      </c>
      <c r="AC100">
        <v>8</v>
      </c>
      <c r="AD100">
        <v>29</v>
      </c>
      <c r="AE100" t="s">
        <v>104</v>
      </c>
      <c r="AF100" s="2">
        <v>0</v>
      </c>
      <c r="AG100" s="2">
        <v>0</v>
      </c>
      <c r="AH100" s="2">
        <v>11.0195266011372</v>
      </c>
      <c r="AI100" s="2">
        <v>2912.8281982339399</v>
      </c>
      <c r="AJ100" s="2">
        <v>3.6731755337124099</v>
      </c>
      <c r="AK100" s="2">
        <v>0</v>
      </c>
      <c r="AL100" s="2">
        <v>0</v>
      </c>
      <c r="AM100" s="2">
        <v>11.0195266011372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3.6731755337124099</v>
      </c>
      <c r="BB100" s="2">
        <v>0</v>
      </c>
      <c r="BC100" s="2">
        <v>3.6731755337124099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51.424457471973703</v>
      </c>
      <c r="BT100" s="2">
        <v>25.712228735986798</v>
      </c>
      <c r="BU100" s="2">
        <v>14.692702134849601</v>
      </c>
      <c r="BV100" s="2">
        <v>3.6731755337124099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22.039053202274399</v>
      </c>
      <c r="CN100" s="2">
        <v>7.34635106742481</v>
      </c>
      <c r="CO100" s="2">
        <v>0</v>
      </c>
      <c r="CP100" s="2">
        <v>0</v>
      </c>
      <c r="CQ100" s="2">
        <v>3.6731755337124099</v>
      </c>
      <c r="CR100" s="2">
        <v>0</v>
      </c>
      <c r="CS100" s="2">
        <v>0</v>
      </c>
      <c r="CT100" s="2">
        <v>0</v>
      </c>
      <c r="CU100" s="2">
        <v>18.365877668562</v>
      </c>
      <c r="CV100" s="2">
        <v>0</v>
      </c>
      <c r="CW100" s="2">
        <v>0</v>
      </c>
      <c r="CX100" s="2">
        <v>14.692702134849601</v>
      </c>
      <c r="CY100" s="2">
        <v>0</v>
      </c>
      <c r="CZ100" s="2">
        <v>3107.5065015206901</v>
      </c>
      <c r="DA100" s="2">
        <f t="shared" si="7"/>
        <v>11.0195266011372</v>
      </c>
      <c r="DB100" s="2">
        <f t="shared" si="8"/>
        <v>2916.5013737676522</v>
      </c>
      <c r="DC100" s="2">
        <f t="shared" si="9"/>
        <v>3.6731755337124099</v>
      </c>
      <c r="DD100" s="2">
        <f t="shared" si="10"/>
        <v>0</v>
      </c>
      <c r="DE100" s="2">
        <f t="shared" si="11"/>
        <v>29.385404269699201</v>
      </c>
      <c r="DF100" s="2">
        <f t="shared" si="12"/>
        <v>88.15621280909771</v>
      </c>
      <c r="DG100" s="2">
        <f t="shared" si="13"/>
        <v>3048.7356929812991</v>
      </c>
    </row>
    <row r="101" spans="1:111" x14ac:dyDescent="0.35">
      <c r="A101">
        <v>2017</v>
      </c>
      <c r="B101">
        <v>19</v>
      </c>
      <c r="C101">
        <v>105</v>
      </c>
      <c r="D101" s="1">
        <v>42976</v>
      </c>
      <c r="E101">
        <v>42.006333333333302</v>
      </c>
      <c r="F101">
        <v>-82.587500000000006</v>
      </c>
      <c r="G101">
        <v>42.013669999999998</v>
      </c>
      <c r="H101">
        <v>-82.591669999999993</v>
      </c>
      <c r="I101">
        <v>2</v>
      </c>
      <c r="J101">
        <v>1.8</v>
      </c>
      <c r="K101">
        <v>0.48</v>
      </c>
      <c r="L101">
        <v>2.9</v>
      </c>
      <c r="M101">
        <v>4</v>
      </c>
      <c r="N101">
        <v>22.7</v>
      </c>
      <c r="O101">
        <v>9.58</v>
      </c>
      <c r="P101">
        <v>22.06</v>
      </c>
      <c r="Q101">
        <v>9.43</v>
      </c>
      <c r="R101">
        <v>9</v>
      </c>
      <c r="S101">
        <v>22.6</v>
      </c>
      <c r="T101">
        <v>9.58</v>
      </c>
      <c r="V101">
        <v>22.76</v>
      </c>
      <c r="W101">
        <v>9.83</v>
      </c>
      <c r="X101">
        <v>22.31</v>
      </c>
      <c r="Y101">
        <v>9.4499999999999993</v>
      </c>
      <c r="Z101">
        <v>22.5</v>
      </c>
      <c r="AA101">
        <v>9.86</v>
      </c>
      <c r="AB101">
        <v>0.26668799999999998</v>
      </c>
      <c r="AC101">
        <v>8</v>
      </c>
      <c r="AD101">
        <v>29</v>
      </c>
      <c r="AE101" t="s">
        <v>105</v>
      </c>
      <c r="AF101" s="2">
        <v>0</v>
      </c>
      <c r="AG101" s="2">
        <v>0</v>
      </c>
      <c r="AH101" s="2">
        <v>0</v>
      </c>
      <c r="AI101" s="2">
        <v>116.24070074394</v>
      </c>
      <c r="AJ101" s="2">
        <v>0</v>
      </c>
      <c r="AK101" s="2">
        <v>0</v>
      </c>
      <c r="AL101" s="2">
        <v>0</v>
      </c>
      <c r="AM101" s="2">
        <v>11.249100071994199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566.20470362370997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693.69450443964502</v>
      </c>
      <c r="DA101" s="2">
        <f t="shared" si="7"/>
        <v>0</v>
      </c>
      <c r="DB101" s="2">
        <f t="shared" si="8"/>
        <v>116.24070074394</v>
      </c>
      <c r="DC101" s="2">
        <f t="shared" si="9"/>
        <v>566.20470362370997</v>
      </c>
      <c r="DD101" s="2">
        <f t="shared" si="10"/>
        <v>0</v>
      </c>
      <c r="DE101" s="2">
        <f t="shared" si="11"/>
        <v>11.249100071994199</v>
      </c>
      <c r="DF101" s="2">
        <f t="shared" si="12"/>
        <v>0</v>
      </c>
      <c r="DG101" s="2">
        <f t="shared" si="13"/>
        <v>693.69450443964422</v>
      </c>
    </row>
    <row r="102" spans="1:111" x14ac:dyDescent="0.35">
      <c r="A102">
        <v>2017</v>
      </c>
      <c r="B102">
        <v>12</v>
      </c>
      <c r="C102">
        <v>106</v>
      </c>
      <c r="D102" s="1">
        <v>42977</v>
      </c>
      <c r="E102">
        <v>41.942833333333297</v>
      </c>
      <c r="F102">
        <v>-82.694833333333307</v>
      </c>
      <c r="G102">
        <v>41.934330000000003</v>
      </c>
      <c r="H102">
        <v>-82.693169999999995</v>
      </c>
      <c r="I102">
        <v>2</v>
      </c>
      <c r="K102">
        <v>0.48</v>
      </c>
      <c r="L102">
        <v>2.9</v>
      </c>
      <c r="M102">
        <v>11.2</v>
      </c>
      <c r="N102">
        <v>22.7</v>
      </c>
      <c r="O102">
        <v>104.1</v>
      </c>
      <c r="P102">
        <v>22.7</v>
      </c>
      <c r="Q102">
        <v>8.9600000000000009</v>
      </c>
      <c r="R102">
        <v>11.2</v>
      </c>
      <c r="S102">
        <v>22.7</v>
      </c>
      <c r="T102">
        <v>8.9600000000000009</v>
      </c>
      <c r="V102">
        <v>22.7</v>
      </c>
      <c r="W102">
        <v>8.9700000000000006</v>
      </c>
      <c r="X102">
        <v>22.7</v>
      </c>
      <c r="Y102">
        <v>8.9</v>
      </c>
      <c r="AB102">
        <v>0.26668799999999998</v>
      </c>
      <c r="AC102">
        <v>8</v>
      </c>
      <c r="AD102">
        <v>30</v>
      </c>
      <c r="AE102" t="s">
        <v>104</v>
      </c>
      <c r="AF102" s="2">
        <v>0</v>
      </c>
      <c r="AG102" s="2">
        <v>0</v>
      </c>
      <c r="AH102" s="2">
        <v>0</v>
      </c>
      <c r="AI102" s="2">
        <v>71.244300455963497</v>
      </c>
      <c r="AJ102" s="2">
        <v>0</v>
      </c>
      <c r="AK102" s="2">
        <v>0</v>
      </c>
      <c r="AL102" s="2">
        <v>0</v>
      </c>
      <c r="AM102" s="2">
        <v>716.19270458363303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3.7497000239980798</v>
      </c>
      <c r="AZ102" s="2">
        <v>0</v>
      </c>
      <c r="BA102" s="2">
        <v>3.7497000239980798</v>
      </c>
      <c r="BB102" s="2">
        <v>0</v>
      </c>
      <c r="BC102" s="2">
        <v>142.48860091192699</v>
      </c>
      <c r="BD102" s="2">
        <v>0</v>
      </c>
      <c r="BE102" s="2">
        <v>116.24070074394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3.7497000239980798</v>
      </c>
      <c r="BQ102" s="2">
        <v>0</v>
      </c>
      <c r="BR102" s="2">
        <v>22.498200143988502</v>
      </c>
      <c r="BS102" s="2">
        <v>1027.41780657547</v>
      </c>
      <c r="BT102" s="2">
        <v>0</v>
      </c>
      <c r="BU102" s="2">
        <v>18.7485001199904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2388.5589152867801</v>
      </c>
      <c r="CN102" s="2">
        <v>18.7485001199904</v>
      </c>
      <c r="CO102" s="2">
        <v>18.7485001199904</v>
      </c>
      <c r="CP102" s="2">
        <v>3.7497000239980798</v>
      </c>
      <c r="CQ102" s="2">
        <v>26.2479001679866</v>
      </c>
      <c r="CR102" s="2">
        <v>0</v>
      </c>
      <c r="CS102" s="2">
        <v>0</v>
      </c>
      <c r="CT102" s="2">
        <v>3.7497000239980798</v>
      </c>
      <c r="CU102" s="2">
        <v>0</v>
      </c>
      <c r="CV102" s="2">
        <v>0</v>
      </c>
      <c r="CW102" s="2">
        <v>3.7497000239980798</v>
      </c>
      <c r="CX102" s="2">
        <v>0</v>
      </c>
      <c r="CY102" s="2">
        <v>0</v>
      </c>
      <c r="CZ102" s="2">
        <v>4589.6328293736497</v>
      </c>
      <c r="DA102" s="2">
        <f t="shared" si="7"/>
        <v>0</v>
      </c>
      <c r="DB102" s="2">
        <f t="shared" si="8"/>
        <v>71.244300455963497</v>
      </c>
      <c r="DC102" s="2">
        <f t="shared" si="9"/>
        <v>142.48860091192699</v>
      </c>
      <c r="DD102" s="2">
        <f t="shared" si="10"/>
        <v>116.24070074394</v>
      </c>
      <c r="DE102" s="2">
        <f t="shared" si="11"/>
        <v>738.6909047276215</v>
      </c>
      <c r="DF102" s="2">
        <f t="shared" si="12"/>
        <v>3457.2234221262288</v>
      </c>
      <c r="DG102" s="2">
        <f t="shared" si="13"/>
        <v>4525.8879289656807</v>
      </c>
    </row>
    <row r="103" spans="1:111" x14ac:dyDescent="0.35">
      <c r="A103">
        <v>2017</v>
      </c>
      <c r="B103">
        <v>12</v>
      </c>
      <c r="C103">
        <v>107</v>
      </c>
      <c r="D103" s="1">
        <v>42977</v>
      </c>
      <c r="E103">
        <v>41.9331666666667</v>
      </c>
      <c r="F103">
        <v>-82.692666666666696</v>
      </c>
      <c r="G103">
        <v>41.94117</v>
      </c>
      <c r="H103">
        <v>-82.694829999999996</v>
      </c>
      <c r="I103">
        <v>2</v>
      </c>
      <c r="J103">
        <v>1.8</v>
      </c>
      <c r="K103">
        <v>0.5</v>
      </c>
      <c r="L103">
        <v>2.9</v>
      </c>
      <c r="M103">
        <v>8</v>
      </c>
      <c r="N103">
        <v>22.7</v>
      </c>
      <c r="O103">
        <v>8.9</v>
      </c>
      <c r="P103">
        <v>22.7</v>
      </c>
      <c r="Q103">
        <v>8.6999999999999993</v>
      </c>
      <c r="R103">
        <v>11.2</v>
      </c>
      <c r="S103">
        <v>22.7</v>
      </c>
      <c r="T103">
        <v>8.9</v>
      </c>
      <c r="U103">
        <v>11.2</v>
      </c>
      <c r="V103">
        <v>22.7</v>
      </c>
      <c r="W103">
        <v>9.0399999999999991</v>
      </c>
      <c r="X103">
        <v>22.7</v>
      </c>
      <c r="Y103">
        <v>8.9</v>
      </c>
      <c r="AB103">
        <v>0.27779999999999999</v>
      </c>
      <c r="AC103">
        <v>8</v>
      </c>
      <c r="AD103">
        <v>30</v>
      </c>
      <c r="AE103" t="s">
        <v>106</v>
      </c>
      <c r="AF103" s="2">
        <v>0</v>
      </c>
      <c r="AG103" s="2">
        <v>0</v>
      </c>
      <c r="AH103" s="2">
        <v>0</v>
      </c>
      <c r="AI103" s="2">
        <v>17.998560115190799</v>
      </c>
      <c r="AJ103" s="2">
        <v>0</v>
      </c>
      <c r="AK103" s="2">
        <v>0</v>
      </c>
      <c r="AL103" s="2">
        <v>0</v>
      </c>
      <c r="AM103" s="2">
        <v>629.94960403167704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46.796256299496001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64.794816414686807</v>
      </c>
      <c r="CN103" s="2">
        <v>28.797696184305298</v>
      </c>
      <c r="CO103" s="2">
        <v>7.1994240460763104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795.53635709143305</v>
      </c>
      <c r="DA103" s="2">
        <f t="shared" si="7"/>
        <v>0</v>
      </c>
      <c r="DB103" s="2">
        <f t="shared" si="8"/>
        <v>17.998560115190799</v>
      </c>
      <c r="DC103" s="2">
        <f t="shared" si="9"/>
        <v>46.796256299496001</v>
      </c>
      <c r="DD103" s="2">
        <f t="shared" si="10"/>
        <v>0</v>
      </c>
      <c r="DE103" s="2">
        <f t="shared" si="11"/>
        <v>629.94960403167704</v>
      </c>
      <c r="DF103" s="2">
        <f t="shared" si="12"/>
        <v>71.994240460763123</v>
      </c>
      <c r="DG103" s="2">
        <f t="shared" si="13"/>
        <v>766.73866090712693</v>
      </c>
    </row>
    <row r="104" spans="1:111" x14ac:dyDescent="0.35">
      <c r="A104">
        <v>2017</v>
      </c>
      <c r="B104">
        <v>12</v>
      </c>
      <c r="C104">
        <v>108</v>
      </c>
      <c r="D104" s="1">
        <v>42977</v>
      </c>
      <c r="E104">
        <v>41.939166666666701</v>
      </c>
      <c r="F104">
        <v>-72.695166666666694</v>
      </c>
      <c r="G104">
        <v>41.931170000000002</v>
      </c>
      <c r="H104">
        <v>-82.695670000000007</v>
      </c>
      <c r="I104">
        <v>1.8</v>
      </c>
      <c r="J104">
        <v>2</v>
      </c>
      <c r="K104">
        <v>0.49</v>
      </c>
      <c r="L104">
        <v>2.9</v>
      </c>
      <c r="M104">
        <v>4</v>
      </c>
      <c r="N104">
        <v>22.7</v>
      </c>
      <c r="O104">
        <v>9.0399999999999991</v>
      </c>
      <c r="P104">
        <v>22.7</v>
      </c>
      <c r="Q104">
        <v>8.9</v>
      </c>
      <c r="R104">
        <v>11.1</v>
      </c>
      <c r="S104">
        <v>22.7</v>
      </c>
      <c r="T104">
        <v>8.9</v>
      </c>
      <c r="V104">
        <v>22.7</v>
      </c>
      <c r="W104">
        <v>9.0399999999999991</v>
      </c>
      <c r="X104">
        <v>22.7</v>
      </c>
      <c r="Y104">
        <v>8.9</v>
      </c>
      <c r="Z104">
        <v>22.7</v>
      </c>
      <c r="AA104">
        <v>9.15</v>
      </c>
      <c r="AB104">
        <v>0.27224399999999999</v>
      </c>
      <c r="AC104">
        <v>8</v>
      </c>
      <c r="AD104">
        <v>30</v>
      </c>
      <c r="AE104" t="s">
        <v>105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25.712228735986798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25.712228735986798</v>
      </c>
      <c r="DA104" s="2">
        <f t="shared" si="7"/>
        <v>0</v>
      </c>
      <c r="DB104" s="2">
        <f t="shared" si="8"/>
        <v>0</v>
      </c>
      <c r="DC104" s="2">
        <f t="shared" si="9"/>
        <v>0</v>
      </c>
      <c r="DD104" s="2">
        <f t="shared" si="10"/>
        <v>0</v>
      </c>
      <c r="DE104" s="2">
        <f t="shared" si="11"/>
        <v>25.712228735986798</v>
      </c>
      <c r="DF104" s="2">
        <f t="shared" si="12"/>
        <v>0</v>
      </c>
      <c r="DG104" s="2">
        <f t="shared" si="13"/>
        <v>25.712228735986798</v>
      </c>
    </row>
    <row r="105" spans="1:111" x14ac:dyDescent="0.35">
      <c r="A105">
        <v>2017</v>
      </c>
      <c r="B105">
        <v>22</v>
      </c>
      <c r="C105">
        <v>109</v>
      </c>
      <c r="D105" s="1">
        <v>42977</v>
      </c>
      <c r="E105">
        <v>41</v>
      </c>
      <c r="F105">
        <v>-82</v>
      </c>
      <c r="G105">
        <v>41.768329999999999</v>
      </c>
      <c r="H105">
        <v>-82.775499999999994</v>
      </c>
      <c r="I105">
        <v>2.2000000000000002</v>
      </c>
      <c r="J105">
        <v>1.9</v>
      </c>
      <c r="K105">
        <v>0.48</v>
      </c>
      <c r="L105">
        <v>2.9</v>
      </c>
      <c r="M105">
        <v>8.5</v>
      </c>
      <c r="N105">
        <v>22.9</v>
      </c>
      <c r="O105">
        <v>9.3000000000000007</v>
      </c>
      <c r="P105">
        <v>22.66</v>
      </c>
      <c r="Q105">
        <v>8.6</v>
      </c>
      <c r="R105">
        <v>8.5</v>
      </c>
      <c r="S105">
        <v>22.6</v>
      </c>
      <c r="T105">
        <v>8.6</v>
      </c>
      <c r="U105">
        <v>8.8000000000000007</v>
      </c>
      <c r="V105">
        <v>23.16</v>
      </c>
      <c r="W105">
        <v>9.18</v>
      </c>
      <c r="X105">
        <v>22.7</v>
      </c>
      <c r="Y105">
        <v>9.06</v>
      </c>
      <c r="Z105">
        <v>22.7</v>
      </c>
      <c r="AA105">
        <v>9.06</v>
      </c>
      <c r="AB105">
        <v>0.26668799999999998</v>
      </c>
      <c r="AC105">
        <v>8</v>
      </c>
      <c r="AD105">
        <v>30</v>
      </c>
      <c r="AE105" t="s">
        <v>104</v>
      </c>
      <c r="AF105" s="2">
        <v>0</v>
      </c>
      <c r="AG105" s="2">
        <v>0</v>
      </c>
      <c r="AH105" s="2">
        <v>41.246700263978902</v>
      </c>
      <c r="AI105" s="2">
        <v>6138.2589392848604</v>
      </c>
      <c r="AJ105" s="2">
        <v>0</v>
      </c>
      <c r="AK105" s="2">
        <v>0</v>
      </c>
      <c r="AL105" s="2">
        <v>0</v>
      </c>
      <c r="AM105" s="2">
        <v>37.4970002399808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3.7497000239980798</v>
      </c>
      <c r="BC105" s="2">
        <v>0</v>
      </c>
      <c r="BD105" s="2">
        <v>0</v>
      </c>
      <c r="BE105" s="2">
        <v>0</v>
      </c>
      <c r="BF105" s="2">
        <v>0</v>
      </c>
      <c r="BG105" s="2">
        <v>48.746100311974999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26.2479001679866</v>
      </c>
      <c r="BS105" s="2">
        <v>1668.61651067915</v>
      </c>
      <c r="BT105" s="2">
        <v>7.4994000479961596</v>
      </c>
      <c r="BU105" s="2">
        <v>11.249100071994199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1267.3986081113501</v>
      </c>
      <c r="CN105" s="2">
        <v>3.7497000239980798</v>
      </c>
      <c r="CO105" s="2">
        <v>78.743700503959701</v>
      </c>
      <c r="CP105" s="2">
        <v>0</v>
      </c>
      <c r="CQ105" s="2">
        <v>11.249100071994199</v>
      </c>
      <c r="CR105" s="2">
        <v>0</v>
      </c>
      <c r="CS105" s="2">
        <v>0</v>
      </c>
      <c r="CT105" s="2">
        <v>0</v>
      </c>
      <c r="CU105" s="2">
        <v>11.249100071994199</v>
      </c>
      <c r="CV105" s="2">
        <v>0</v>
      </c>
      <c r="CW105" s="2">
        <v>0</v>
      </c>
      <c r="CX105" s="2">
        <v>14.9988000959923</v>
      </c>
      <c r="CY105" s="2">
        <v>0</v>
      </c>
      <c r="CZ105" s="2">
        <v>9377.9997600192</v>
      </c>
      <c r="DA105" s="2">
        <f t="shared" si="7"/>
        <v>41.246700263978902</v>
      </c>
      <c r="DB105" s="2">
        <f t="shared" si="8"/>
        <v>6138.2589392848604</v>
      </c>
      <c r="DC105" s="2">
        <f t="shared" si="9"/>
        <v>0</v>
      </c>
      <c r="DD105" s="2">
        <f t="shared" si="10"/>
        <v>48.746100311974999</v>
      </c>
      <c r="DE105" s="2">
        <f t="shared" si="11"/>
        <v>78.743700503959673</v>
      </c>
      <c r="DF105" s="2">
        <f t="shared" si="12"/>
        <v>3026.0079193664537</v>
      </c>
      <c r="DG105" s="2">
        <f t="shared" si="13"/>
        <v>9333.0033597312286</v>
      </c>
    </row>
    <row r="106" spans="1:111" x14ac:dyDescent="0.35">
      <c r="A106">
        <v>2017</v>
      </c>
      <c r="B106">
        <v>22</v>
      </c>
      <c r="C106">
        <v>110</v>
      </c>
      <c r="D106" s="1">
        <v>42977</v>
      </c>
      <c r="E106">
        <v>41.766666666666701</v>
      </c>
      <c r="F106">
        <v>-82.775333333333293</v>
      </c>
      <c r="G106">
        <v>41.774500000000003</v>
      </c>
      <c r="H106">
        <v>-82.778329999999997</v>
      </c>
      <c r="I106">
        <v>1.9</v>
      </c>
      <c r="K106">
        <v>0.5</v>
      </c>
      <c r="L106">
        <v>2.9</v>
      </c>
      <c r="M106">
        <v>4</v>
      </c>
      <c r="N106">
        <v>23.17</v>
      </c>
      <c r="O106">
        <v>9.09</v>
      </c>
      <c r="P106">
        <v>22.7</v>
      </c>
      <c r="Q106">
        <v>8.8000000000000007</v>
      </c>
      <c r="R106">
        <v>8.8000000000000007</v>
      </c>
      <c r="S106">
        <v>22.7</v>
      </c>
      <c r="T106">
        <v>9.1</v>
      </c>
      <c r="U106">
        <v>8.5</v>
      </c>
      <c r="V106">
        <v>23.1</v>
      </c>
      <c r="W106">
        <v>9.02</v>
      </c>
      <c r="X106">
        <v>22.6</v>
      </c>
      <c r="Y106">
        <v>8.5</v>
      </c>
      <c r="Z106">
        <v>22.7</v>
      </c>
      <c r="AA106">
        <v>8.89</v>
      </c>
      <c r="AB106">
        <v>0.27779999999999999</v>
      </c>
      <c r="AC106">
        <v>8</v>
      </c>
      <c r="AD106">
        <v>30</v>
      </c>
      <c r="AE106" t="s">
        <v>105</v>
      </c>
      <c r="AF106" s="2">
        <v>0</v>
      </c>
      <c r="AG106" s="2">
        <v>0</v>
      </c>
      <c r="AH106" s="2">
        <v>0</v>
      </c>
      <c r="AI106" s="2">
        <v>75.593952483801303</v>
      </c>
      <c r="AJ106" s="2">
        <v>0</v>
      </c>
      <c r="AK106" s="2">
        <v>0</v>
      </c>
      <c r="AL106" s="2">
        <v>0</v>
      </c>
      <c r="AM106" s="2">
        <v>82.793376529877605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215.98272138228899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374.37005039596801</v>
      </c>
      <c r="DA106" s="2">
        <f t="shared" si="7"/>
        <v>0</v>
      </c>
      <c r="DB106" s="2">
        <f t="shared" si="8"/>
        <v>75.593952483801303</v>
      </c>
      <c r="DC106" s="2">
        <f t="shared" si="9"/>
        <v>215.98272138228899</v>
      </c>
      <c r="DD106" s="2">
        <f t="shared" si="10"/>
        <v>0</v>
      </c>
      <c r="DE106" s="2">
        <f t="shared" si="11"/>
        <v>82.793376529877605</v>
      </c>
      <c r="DF106" s="2">
        <f t="shared" si="12"/>
        <v>0</v>
      </c>
      <c r="DG106" s="2">
        <f t="shared" si="13"/>
        <v>374.37005039596789</v>
      </c>
    </row>
    <row r="107" spans="1:111" x14ac:dyDescent="0.35">
      <c r="A107">
        <v>2017</v>
      </c>
      <c r="B107">
        <v>8</v>
      </c>
      <c r="C107">
        <v>111</v>
      </c>
      <c r="D107" s="1">
        <v>42977</v>
      </c>
      <c r="E107">
        <v>41.826000000000001</v>
      </c>
      <c r="F107">
        <v>-82.899166666666702</v>
      </c>
      <c r="G107">
        <v>41.831829999999997</v>
      </c>
      <c r="H107">
        <v>-82.905829999999995</v>
      </c>
      <c r="I107">
        <v>2.5</v>
      </c>
      <c r="J107">
        <v>2.5</v>
      </c>
      <c r="K107">
        <v>0.47</v>
      </c>
      <c r="L107">
        <v>2.9</v>
      </c>
      <c r="M107">
        <v>10.6</v>
      </c>
      <c r="N107">
        <v>23.09</v>
      </c>
      <c r="O107">
        <v>9.11</v>
      </c>
      <c r="P107">
        <v>22.52</v>
      </c>
      <c r="Q107">
        <v>8.94</v>
      </c>
      <c r="R107">
        <v>10.6</v>
      </c>
      <c r="S107">
        <v>22.52</v>
      </c>
      <c r="T107">
        <v>8.94</v>
      </c>
      <c r="U107">
        <v>10.7</v>
      </c>
      <c r="V107">
        <v>22.7</v>
      </c>
      <c r="W107">
        <v>9.36</v>
      </c>
      <c r="X107">
        <v>22.46</v>
      </c>
      <c r="Y107">
        <v>8.9499999999999993</v>
      </c>
      <c r="Z107">
        <v>22.4</v>
      </c>
      <c r="AA107">
        <v>8.9499999999999993</v>
      </c>
      <c r="AB107">
        <v>0.26113199999999998</v>
      </c>
      <c r="AC107">
        <v>8</v>
      </c>
      <c r="AD107">
        <v>30</v>
      </c>
      <c r="AE107" t="s">
        <v>104</v>
      </c>
      <c r="AF107" s="2">
        <v>0</v>
      </c>
      <c r="AG107" s="2">
        <v>0</v>
      </c>
      <c r="AH107" s="2">
        <v>0</v>
      </c>
      <c r="AI107" s="2">
        <v>19.1474043778625</v>
      </c>
      <c r="AJ107" s="2">
        <v>0</v>
      </c>
      <c r="AK107" s="2">
        <v>0</v>
      </c>
      <c r="AL107" s="2">
        <v>0</v>
      </c>
      <c r="AM107" s="2">
        <v>80.4190983870227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3.8294808755725098</v>
      </c>
      <c r="BC107" s="2">
        <v>3.8294808755725098</v>
      </c>
      <c r="BD107" s="2">
        <v>0</v>
      </c>
      <c r="BE107" s="2">
        <v>3.8294808755725098</v>
      </c>
      <c r="BF107" s="2">
        <v>0</v>
      </c>
      <c r="BG107" s="2">
        <v>176.156120276335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264.23418041450299</v>
      </c>
      <c r="BS107" s="2">
        <v>3408.2379792595302</v>
      </c>
      <c r="BT107" s="2">
        <v>3.8294808755725098</v>
      </c>
      <c r="BU107" s="2">
        <v>15.31792350229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1734.7548366343501</v>
      </c>
      <c r="CN107" s="2">
        <v>11.4884426267175</v>
      </c>
      <c r="CO107" s="2">
        <v>88.0780601381677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3.8294808755725098</v>
      </c>
      <c r="CV107" s="2">
        <v>0</v>
      </c>
      <c r="CW107" s="2">
        <v>0</v>
      </c>
      <c r="CX107" s="2">
        <v>19.1474043778625</v>
      </c>
      <c r="CY107" s="2">
        <v>0</v>
      </c>
      <c r="CZ107" s="2">
        <v>5836.1288543725004</v>
      </c>
      <c r="DA107" s="2">
        <f t="shared" si="7"/>
        <v>0</v>
      </c>
      <c r="DB107" s="2">
        <f t="shared" si="8"/>
        <v>19.1474043778625</v>
      </c>
      <c r="DC107" s="2">
        <f t="shared" si="9"/>
        <v>3.8294808755725098</v>
      </c>
      <c r="DD107" s="2">
        <f t="shared" si="10"/>
        <v>179.9856011519075</v>
      </c>
      <c r="DE107" s="2">
        <f t="shared" si="11"/>
        <v>352.31224055267074</v>
      </c>
      <c r="DF107" s="2">
        <f t="shared" si="12"/>
        <v>5246.3887995343375</v>
      </c>
      <c r="DG107" s="2">
        <f t="shared" si="13"/>
        <v>5801.6635264923507</v>
      </c>
    </row>
    <row r="108" spans="1:111" x14ac:dyDescent="0.35">
      <c r="A108">
        <v>2017</v>
      </c>
      <c r="B108">
        <v>8</v>
      </c>
      <c r="C108">
        <v>112</v>
      </c>
      <c r="D108" s="1">
        <v>42977</v>
      </c>
      <c r="E108">
        <v>41.826999999999998</v>
      </c>
      <c r="F108">
        <v>-82.890500000000003</v>
      </c>
      <c r="G108">
        <v>41</v>
      </c>
      <c r="H108">
        <v>-82</v>
      </c>
      <c r="I108">
        <v>2.5</v>
      </c>
      <c r="J108">
        <v>3.1</v>
      </c>
      <c r="K108">
        <v>0.43</v>
      </c>
      <c r="L108">
        <v>2.9</v>
      </c>
      <c r="M108">
        <v>7</v>
      </c>
      <c r="N108">
        <v>22.7</v>
      </c>
      <c r="O108">
        <v>9.36</v>
      </c>
      <c r="P108">
        <v>22.4</v>
      </c>
      <c r="Q108">
        <v>8.9499999999999993</v>
      </c>
      <c r="R108">
        <v>10.7</v>
      </c>
      <c r="S108">
        <v>22.48</v>
      </c>
      <c r="T108">
        <v>9</v>
      </c>
      <c r="V108">
        <v>23.1</v>
      </c>
      <c r="W108">
        <v>9.49</v>
      </c>
      <c r="X108">
        <v>20.49</v>
      </c>
      <c r="Y108">
        <v>9.06</v>
      </c>
      <c r="Z108">
        <v>22.5</v>
      </c>
      <c r="AA108">
        <v>9.3699999999999992</v>
      </c>
      <c r="AB108">
        <v>0.23890800000000001</v>
      </c>
      <c r="AC108">
        <v>8</v>
      </c>
      <c r="AD108">
        <v>30</v>
      </c>
      <c r="AE108" t="s">
        <v>106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12.5571349640866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16.742846618782099</v>
      </c>
      <c r="BD108" s="2">
        <v>0</v>
      </c>
      <c r="BE108" s="2">
        <v>0</v>
      </c>
      <c r="BF108" s="2">
        <v>0</v>
      </c>
      <c r="BG108" s="2">
        <v>4.1857116546955302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16.742846618782099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50.228539856346401</v>
      </c>
      <c r="DA108" s="2">
        <f t="shared" si="7"/>
        <v>0</v>
      </c>
      <c r="DB108" s="2">
        <f t="shared" si="8"/>
        <v>0</v>
      </c>
      <c r="DC108" s="2">
        <f t="shared" si="9"/>
        <v>16.742846618782099</v>
      </c>
      <c r="DD108" s="2">
        <f t="shared" si="10"/>
        <v>4.1857116546955302</v>
      </c>
      <c r="DE108" s="2">
        <f t="shared" si="11"/>
        <v>12.5571349640866</v>
      </c>
      <c r="DF108" s="2">
        <f t="shared" si="12"/>
        <v>16.742846618782099</v>
      </c>
      <c r="DG108" s="2">
        <f t="shared" si="13"/>
        <v>50.22853985634633</v>
      </c>
    </row>
    <row r="109" spans="1:111" x14ac:dyDescent="0.35">
      <c r="A109">
        <v>2017</v>
      </c>
      <c r="B109">
        <v>8</v>
      </c>
      <c r="C109">
        <v>113</v>
      </c>
      <c r="D109" s="1">
        <v>42977</v>
      </c>
      <c r="E109">
        <v>41.835000000000001</v>
      </c>
      <c r="F109">
        <v>-82.899166666666702</v>
      </c>
      <c r="G109">
        <v>41.842170000000003</v>
      </c>
      <c r="H109">
        <v>-82.895830000000004</v>
      </c>
      <c r="I109">
        <v>3.1</v>
      </c>
      <c r="J109">
        <v>2.8</v>
      </c>
      <c r="K109">
        <v>0.42</v>
      </c>
      <c r="L109">
        <v>2</v>
      </c>
      <c r="M109">
        <v>4</v>
      </c>
      <c r="N109">
        <v>23.1</v>
      </c>
      <c r="O109">
        <v>9.4499999999999993</v>
      </c>
      <c r="P109">
        <v>22.49</v>
      </c>
      <c r="Q109">
        <v>9.06</v>
      </c>
      <c r="R109">
        <v>10.7</v>
      </c>
      <c r="S109">
        <v>22.6</v>
      </c>
      <c r="T109">
        <v>9.23</v>
      </c>
      <c r="U109">
        <v>10.6</v>
      </c>
      <c r="V109">
        <v>23.1</v>
      </c>
      <c r="W109">
        <v>9.3000000000000007</v>
      </c>
      <c r="X109">
        <v>22.5</v>
      </c>
      <c r="Y109">
        <v>9.1</v>
      </c>
      <c r="Z109">
        <v>22.1</v>
      </c>
      <c r="AA109">
        <v>9.3000000000000007</v>
      </c>
      <c r="AB109">
        <v>0.233352</v>
      </c>
      <c r="AC109">
        <v>8</v>
      </c>
      <c r="AD109">
        <v>30</v>
      </c>
      <c r="AE109" t="s">
        <v>105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4.2853714559978098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4.2853714559978098</v>
      </c>
      <c r="DA109" s="2">
        <f t="shared" si="7"/>
        <v>0</v>
      </c>
      <c r="DB109" s="2">
        <f t="shared" si="8"/>
        <v>0</v>
      </c>
      <c r="DC109" s="2">
        <f t="shared" si="9"/>
        <v>0</v>
      </c>
      <c r="DD109" s="2">
        <f t="shared" si="10"/>
        <v>0</v>
      </c>
      <c r="DE109" s="2">
        <f t="shared" si="11"/>
        <v>4.2853714559978098</v>
      </c>
      <c r="DF109" s="2">
        <f t="shared" si="12"/>
        <v>0</v>
      </c>
      <c r="DG109" s="2">
        <f t="shared" si="13"/>
        <v>4.2853714559978098</v>
      </c>
    </row>
    <row r="110" spans="1:111" x14ac:dyDescent="0.35">
      <c r="A110">
        <v>2017</v>
      </c>
      <c r="B110">
        <v>24</v>
      </c>
      <c r="C110">
        <v>114</v>
      </c>
      <c r="D110" s="1">
        <v>42978</v>
      </c>
      <c r="E110">
        <v>41.947666666666699</v>
      </c>
      <c r="F110">
        <v>-82.989500000000007</v>
      </c>
      <c r="G110">
        <v>41.939500000000002</v>
      </c>
      <c r="H110">
        <v>-82.988669999999999</v>
      </c>
      <c r="I110">
        <v>1.9</v>
      </c>
      <c r="J110">
        <v>1.9</v>
      </c>
      <c r="K110">
        <v>0.5</v>
      </c>
      <c r="L110">
        <v>2.9</v>
      </c>
      <c r="M110">
        <v>4</v>
      </c>
      <c r="N110">
        <v>22.5</v>
      </c>
      <c r="O110">
        <v>8.4700000000000006</v>
      </c>
      <c r="P110">
        <v>22.5</v>
      </c>
      <c r="Q110">
        <v>8.39</v>
      </c>
      <c r="R110">
        <v>9.3000000000000007</v>
      </c>
      <c r="S110">
        <v>22.51</v>
      </c>
      <c r="T110">
        <v>8.4499999999999993</v>
      </c>
      <c r="V110">
        <v>22.44</v>
      </c>
      <c r="W110">
        <v>8.4</v>
      </c>
      <c r="X110">
        <v>22.47</v>
      </c>
      <c r="Y110">
        <v>8.4700000000000006</v>
      </c>
      <c r="Z110">
        <v>22.4</v>
      </c>
      <c r="AA110">
        <v>8.51</v>
      </c>
      <c r="AB110">
        <v>0.27779999999999999</v>
      </c>
      <c r="AC110">
        <v>8</v>
      </c>
      <c r="AD110">
        <v>31</v>
      </c>
      <c r="AE110" t="s">
        <v>105</v>
      </c>
      <c r="AF110" s="2">
        <v>0</v>
      </c>
      <c r="AG110" s="2">
        <v>0</v>
      </c>
      <c r="AH110" s="2">
        <v>0</v>
      </c>
      <c r="AI110" s="2">
        <v>3.5997120230381601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165.58675305975501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169.18646508279301</v>
      </c>
      <c r="DA110" s="2">
        <f t="shared" si="7"/>
        <v>0</v>
      </c>
      <c r="DB110" s="2">
        <f t="shared" si="8"/>
        <v>3.5997120230381601</v>
      </c>
      <c r="DC110" s="2">
        <f t="shared" si="9"/>
        <v>165.58675305975501</v>
      </c>
      <c r="DD110" s="2">
        <f t="shared" si="10"/>
        <v>0</v>
      </c>
      <c r="DE110" s="2">
        <f t="shared" si="11"/>
        <v>0</v>
      </c>
      <c r="DF110" s="2">
        <f t="shared" si="12"/>
        <v>0</v>
      </c>
      <c r="DG110" s="2">
        <f t="shared" si="13"/>
        <v>169.18646508279318</v>
      </c>
    </row>
    <row r="111" spans="1:111" x14ac:dyDescent="0.35">
      <c r="A111">
        <v>2017</v>
      </c>
      <c r="B111">
        <v>24</v>
      </c>
      <c r="C111">
        <v>115</v>
      </c>
      <c r="D111" s="1">
        <v>42978</v>
      </c>
      <c r="E111">
        <v>41.938666666666698</v>
      </c>
      <c r="F111">
        <v>-82.987166666666695</v>
      </c>
      <c r="G111">
        <v>41.946170000000002</v>
      </c>
      <c r="H111">
        <v>-82.983999999999995</v>
      </c>
      <c r="I111">
        <v>1.9</v>
      </c>
      <c r="J111">
        <v>1.1000000000000001</v>
      </c>
      <c r="K111">
        <v>0.48</v>
      </c>
      <c r="L111">
        <v>2.9</v>
      </c>
      <c r="M111">
        <v>7</v>
      </c>
      <c r="N111">
        <v>22.44</v>
      </c>
      <c r="O111">
        <v>8.4</v>
      </c>
      <c r="P111">
        <v>22.47</v>
      </c>
      <c r="Q111">
        <v>8.4700000000000006</v>
      </c>
      <c r="R111">
        <v>9.1999999999999993</v>
      </c>
      <c r="S111">
        <v>22.47</v>
      </c>
      <c r="T111">
        <v>8.5</v>
      </c>
      <c r="V111">
        <v>22.4</v>
      </c>
      <c r="W111">
        <v>8.4700000000000006</v>
      </c>
      <c r="X111">
        <v>22.52</v>
      </c>
      <c r="Y111">
        <v>8.39</v>
      </c>
      <c r="Z111">
        <v>22.5</v>
      </c>
      <c r="AA111">
        <v>7.46</v>
      </c>
      <c r="AB111">
        <v>0.26668799999999998</v>
      </c>
      <c r="AC111">
        <v>8</v>
      </c>
      <c r="AD111">
        <v>31</v>
      </c>
      <c r="AE111" t="s">
        <v>106</v>
      </c>
      <c r="AF111" s="2">
        <v>0</v>
      </c>
      <c r="AG111" s="2">
        <v>0</v>
      </c>
      <c r="AH111" s="2">
        <v>0</v>
      </c>
      <c r="AI111" s="2">
        <v>22.498200143988502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562.45500359971197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584.95320374370101</v>
      </c>
      <c r="DA111" s="2">
        <f t="shared" si="7"/>
        <v>0</v>
      </c>
      <c r="DB111" s="2">
        <f t="shared" si="8"/>
        <v>22.498200143988502</v>
      </c>
      <c r="DC111" s="2">
        <f t="shared" si="9"/>
        <v>562.45500359971197</v>
      </c>
      <c r="DD111" s="2">
        <f t="shared" si="10"/>
        <v>0</v>
      </c>
      <c r="DE111" s="2">
        <f t="shared" si="11"/>
        <v>0</v>
      </c>
      <c r="DF111" s="2">
        <f t="shared" si="12"/>
        <v>0</v>
      </c>
      <c r="DG111" s="2">
        <f t="shared" si="13"/>
        <v>584.95320374370044</v>
      </c>
    </row>
    <row r="112" spans="1:111" x14ac:dyDescent="0.35">
      <c r="A112">
        <v>2017</v>
      </c>
      <c r="B112">
        <v>24</v>
      </c>
      <c r="C112">
        <v>116</v>
      </c>
      <c r="D112" s="1">
        <v>42978</v>
      </c>
      <c r="E112">
        <v>41.94</v>
      </c>
      <c r="F112">
        <v>-82.986833333333294</v>
      </c>
      <c r="G112">
        <v>41.932169999999999</v>
      </c>
      <c r="H112">
        <v>-82.988669999999999</v>
      </c>
      <c r="I112">
        <v>1.1000000000000001</v>
      </c>
      <c r="J112">
        <v>1.5</v>
      </c>
      <c r="K112">
        <v>0.49</v>
      </c>
      <c r="L112">
        <v>2.9</v>
      </c>
      <c r="M112">
        <v>9.4</v>
      </c>
      <c r="N112">
        <v>22.4</v>
      </c>
      <c r="O112">
        <v>8.4</v>
      </c>
      <c r="P112">
        <v>22.47</v>
      </c>
      <c r="Q112">
        <v>8.4700000000000006</v>
      </c>
      <c r="R112">
        <v>9.4</v>
      </c>
      <c r="S112">
        <v>22.47</v>
      </c>
      <c r="T112">
        <v>8.4700000000000006</v>
      </c>
      <c r="U112">
        <v>9.6999999999999993</v>
      </c>
      <c r="V112">
        <v>22.34</v>
      </c>
      <c r="W112">
        <v>8.4700000000000006</v>
      </c>
      <c r="X112">
        <v>22.42</v>
      </c>
      <c r="Y112">
        <v>8.2100000000000009</v>
      </c>
      <c r="AB112">
        <v>0.27224399999999999</v>
      </c>
      <c r="AC112">
        <v>8</v>
      </c>
      <c r="AD112">
        <v>31</v>
      </c>
      <c r="AE112" t="s">
        <v>104</v>
      </c>
      <c r="AF112" s="2">
        <v>0</v>
      </c>
      <c r="AG112" s="2">
        <v>0</v>
      </c>
      <c r="AH112" s="2">
        <v>0</v>
      </c>
      <c r="AI112" s="2">
        <v>88.156212809097696</v>
      </c>
      <c r="AJ112" s="2">
        <v>0</v>
      </c>
      <c r="AK112" s="2">
        <v>0</v>
      </c>
      <c r="AL112" s="2">
        <v>0</v>
      </c>
      <c r="AM112" s="2">
        <v>18.365877668562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1939.4366818001499</v>
      </c>
      <c r="BD112" s="2">
        <v>0</v>
      </c>
      <c r="BE112" s="2">
        <v>0</v>
      </c>
      <c r="BF112" s="2">
        <v>0</v>
      </c>
      <c r="BG112" s="2">
        <v>44.078106404548898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7.34635106742481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3.6731755337124099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2104.7295808172098</v>
      </c>
      <c r="DA112" s="2">
        <f t="shared" si="7"/>
        <v>0</v>
      </c>
      <c r="DB112" s="2">
        <f t="shared" si="8"/>
        <v>88.156212809097696</v>
      </c>
      <c r="DC112" s="2">
        <f t="shared" si="9"/>
        <v>1939.4366818001499</v>
      </c>
      <c r="DD112" s="2">
        <f t="shared" si="10"/>
        <v>44.078106404548898</v>
      </c>
      <c r="DE112" s="2">
        <f t="shared" si="11"/>
        <v>18.365877668562</v>
      </c>
      <c r="DF112" s="2">
        <f t="shared" si="12"/>
        <v>7.34635106742481</v>
      </c>
      <c r="DG112" s="2">
        <f t="shared" si="13"/>
        <v>2097.3832297497834</v>
      </c>
    </row>
    <row r="113" spans="1:111" x14ac:dyDescent="0.35">
      <c r="A113">
        <v>2017</v>
      </c>
      <c r="B113">
        <v>1</v>
      </c>
      <c r="C113">
        <v>117</v>
      </c>
      <c r="D113" s="1">
        <v>42978</v>
      </c>
      <c r="E113">
        <v>41.996499999999997</v>
      </c>
      <c r="F113">
        <v>-83.061000000000007</v>
      </c>
      <c r="G113">
        <v>41.9895</v>
      </c>
      <c r="H113">
        <v>-83.064670000000007</v>
      </c>
      <c r="I113">
        <v>1.3</v>
      </c>
      <c r="J113">
        <v>1.5</v>
      </c>
      <c r="K113">
        <v>0.5</v>
      </c>
      <c r="L113">
        <v>2.9</v>
      </c>
      <c r="M113">
        <v>4</v>
      </c>
      <c r="N113">
        <v>22.33</v>
      </c>
      <c r="O113">
        <v>8.8000000000000007</v>
      </c>
      <c r="P113">
        <v>21.7</v>
      </c>
      <c r="Q113">
        <v>7.7</v>
      </c>
      <c r="R113">
        <v>6.7</v>
      </c>
      <c r="S113">
        <v>22.31</v>
      </c>
      <c r="T113">
        <v>8.8000000000000007</v>
      </c>
      <c r="V113">
        <v>22</v>
      </c>
      <c r="W113">
        <v>8.8000000000000007</v>
      </c>
      <c r="X113">
        <v>21.31</v>
      </c>
      <c r="Y113">
        <v>8.4</v>
      </c>
      <c r="Z113">
        <v>22</v>
      </c>
      <c r="AA113">
        <v>8.8000000000000007</v>
      </c>
      <c r="AB113">
        <v>0.27779999999999999</v>
      </c>
      <c r="AC113">
        <v>8</v>
      </c>
      <c r="AD113">
        <v>31</v>
      </c>
      <c r="AE113" t="s">
        <v>105</v>
      </c>
      <c r="AF113" s="2">
        <v>0</v>
      </c>
      <c r="AG113" s="2">
        <v>0</v>
      </c>
      <c r="AH113" s="2">
        <v>0</v>
      </c>
      <c r="AI113" s="2">
        <v>3.5997120230381601</v>
      </c>
      <c r="AJ113" s="2">
        <v>0</v>
      </c>
      <c r="AK113" s="2">
        <v>0</v>
      </c>
      <c r="AL113" s="2">
        <v>0</v>
      </c>
      <c r="AM113" s="2">
        <v>7.1994240460763104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554.35565154787605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3.5997120230381601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579.55363570914301</v>
      </c>
      <c r="DA113" s="2">
        <f t="shared" si="7"/>
        <v>0</v>
      </c>
      <c r="DB113" s="2">
        <f t="shared" si="8"/>
        <v>3.5997120230381601</v>
      </c>
      <c r="DC113" s="2">
        <f t="shared" si="9"/>
        <v>554.35565154787605</v>
      </c>
      <c r="DD113" s="2">
        <f t="shared" si="10"/>
        <v>0</v>
      </c>
      <c r="DE113" s="2">
        <f t="shared" si="11"/>
        <v>7.1994240460763104</v>
      </c>
      <c r="DF113" s="2">
        <f t="shared" si="12"/>
        <v>0</v>
      </c>
      <c r="DG113" s="2">
        <f t="shared" si="13"/>
        <v>565.15478761699046</v>
      </c>
    </row>
    <row r="114" spans="1:111" x14ac:dyDescent="0.35">
      <c r="A114">
        <v>2017</v>
      </c>
      <c r="B114">
        <v>1</v>
      </c>
      <c r="C114">
        <v>118</v>
      </c>
      <c r="D114" s="1">
        <v>42978</v>
      </c>
      <c r="E114">
        <v>41.987499999999997</v>
      </c>
      <c r="F114">
        <v>-83.064666666666696</v>
      </c>
      <c r="G114">
        <v>41.979669999999999</v>
      </c>
      <c r="H114">
        <v>-83.065669999999997</v>
      </c>
      <c r="I114">
        <v>1.5</v>
      </c>
      <c r="J114">
        <v>1.2</v>
      </c>
      <c r="K114">
        <v>0.48</v>
      </c>
      <c r="L114">
        <v>2.9</v>
      </c>
      <c r="M114">
        <v>7.7</v>
      </c>
      <c r="N114">
        <v>22</v>
      </c>
      <c r="O114">
        <v>8.8000000000000007</v>
      </c>
      <c r="P114">
        <v>21.31</v>
      </c>
      <c r="Q114">
        <v>8.4</v>
      </c>
      <c r="R114">
        <v>7.7</v>
      </c>
      <c r="S114">
        <v>21.3</v>
      </c>
      <c r="T114">
        <v>8.4</v>
      </c>
      <c r="U114">
        <v>7.9</v>
      </c>
      <c r="V114">
        <v>21.9</v>
      </c>
      <c r="W114">
        <v>8.8000000000000007</v>
      </c>
      <c r="X114">
        <v>21.1</v>
      </c>
      <c r="Y114">
        <v>8.1999999999999993</v>
      </c>
      <c r="AB114">
        <v>0.26668799999999998</v>
      </c>
      <c r="AC114">
        <v>8</v>
      </c>
      <c r="AD114">
        <v>31</v>
      </c>
      <c r="AE114" t="s">
        <v>104</v>
      </c>
      <c r="AF114" s="2">
        <v>0</v>
      </c>
      <c r="AG114" s="2">
        <v>0</v>
      </c>
      <c r="AH114" s="2">
        <v>3.7497000239980798</v>
      </c>
      <c r="AI114" s="2">
        <v>0</v>
      </c>
      <c r="AJ114" s="2">
        <v>0</v>
      </c>
      <c r="AK114" s="2">
        <v>0</v>
      </c>
      <c r="AL114" s="2">
        <v>0</v>
      </c>
      <c r="AM114" s="2">
        <v>89.992800575953893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18.7485001199904</v>
      </c>
      <c r="BD114" s="2">
        <v>0</v>
      </c>
      <c r="BE114" s="2">
        <v>18.7485001199904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14.9988000959923</v>
      </c>
      <c r="BS114" s="2">
        <v>742.44060475161996</v>
      </c>
      <c r="BT114" s="2">
        <v>11.249100071994199</v>
      </c>
      <c r="BU114" s="2">
        <v>3.7497000239980798</v>
      </c>
      <c r="BV114" s="2">
        <v>0</v>
      </c>
      <c r="BW114" s="2">
        <v>0</v>
      </c>
      <c r="BX114" s="2">
        <v>0</v>
      </c>
      <c r="BY114" s="2">
        <v>0</v>
      </c>
      <c r="BZ114" s="2">
        <v>3.7497000239980798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1106.1615070794301</v>
      </c>
      <c r="CN114" s="2">
        <v>0</v>
      </c>
      <c r="CO114" s="2">
        <v>0</v>
      </c>
      <c r="CP114" s="2">
        <v>0</v>
      </c>
      <c r="CQ114" s="2">
        <v>3.7497000239980798</v>
      </c>
      <c r="CR114" s="2">
        <v>0</v>
      </c>
      <c r="CS114" s="2">
        <v>14.9988000959923</v>
      </c>
      <c r="CT114" s="2">
        <v>3.7497000239980798</v>
      </c>
      <c r="CU114" s="2">
        <v>63.7449004079674</v>
      </c>
      <c r="CV114" s="2">
        <v>0</v>
      </c>
      <c r="CW114" s="2">
        <v>0</v>
      </c>
      <c r="CX114" s="2">
        <v>22.498200143988502</v>
      </c>
      <c r="CY114" s="2">
        <v>0</v>
      </c>
      <c r="CZ114" s="2">
        <v>2126.0799136069099</v>
      </c>
      <c r="DA114" s="2">
        <f t="shared" si="7"/>
        <v>3.7497000239980798</v>
      </c>
      <c r="DB114" s="2">
        <f t="shared" si="8"/>
        <v>0</v>
      </c>
      <c r="DC114" s="2">
        <f t="shared" si="9"/>
        <v>18.7485001199904</v>
      </c>
      <c r="DD114" s="2">
        <f t="shared" si="10"/>
        <v>18.7485001199904</v>
      </c>
      <c r="DE114" s="2">
        <f t="shared" si="11"/>
        <v>168.73650107991358</v>
      </c>
      <c r="DF114" s="2">
        <f t="shared" si="12"/>
        <v>1852.3518118550483</v>
      </c>
      <c r="DG114" s="2">
        <f t="shared" si="13"/>
        <v>2062.3350131989409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Michigan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Dufour, Mark R.</dc:creator>
  <cp:lastModifiedBy>Dufour, Mark R.</cp:lastModifiedBy>
  <dcterms:created xsi:type="dcterms:W3CDTF">2020-06-02T13:04:47Z</dcterms:created>
  <dcterms:modified xsi:type="dcterms:W3CDTF">2020-06-02T15:48:57Z</dcterms:modified>
</cp:coreProperties>
</file>